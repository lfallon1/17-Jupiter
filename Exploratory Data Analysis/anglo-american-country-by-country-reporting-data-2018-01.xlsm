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ygb-my.sharepoint.com/personal/luke_fallon_uk_ey_com/Documents/Documents/Code/17 Jupiter/Anglo American/"/>
    </mc:Choice>
  </mc:AlternateContent>
  <xr:revisionPtr revIDLastSave="1" documentId="13_ncr:1_{A72BC524-DC91-43C5-8A1D-08CDFA281000}" xr6:coauthVersionLast="46" xr6:coauthVersionMax="46" xr10:uidLastSave="{76FF2610-F6A7-47A3-9202-E397C0B6A36E}"/>
  <workbookProtection workbookAlgorithmName="SHA-512" workbookHashValue="RCuJZh6M7zPiCnbzNSXBCWhJdxxIwznwZg0en5/EK/ZhnW2467abZo4CBbyGA6oMdZu3PDjuzmSPOGyWEoGYQg==" workbookSaltValue="17z/7vyvbZZkOMGVbRcnHw==" workbookSpinCount="100000" lockStructure="1"/>
  <bookViews>
    <workbookView xWindow="3135" yWindow="3135" windowWidth="21600" windowHeight="11280" xr2:uid="{00000000-000D-0000-FFFF-FFFF00000000}"/>
  </bookViews>
  <sheets>
    <sheet name="Table 1 Revenue" sheetId="1" r:id="rId1"/>
    <sheet name="Table 2 Entities" sheetId="2" r:id="rId2"/>
    <sheet name="TemplateMapXml" sheetId="4" state="hidden" r:id="rId3"/>
    <sheet name="Table1Map" sheetId="5" state="hidden" r:id="rId4"/>
    <sheet name="Lists" sheetId="3" state="hidden" r:id="rId5"/>
  </sheets>
  <externalReferences>
    <externalReference r:id="rId6"/>
  </externalReferences>
  <definedNames>
    <definedName name="ListAddressType">Lists!$O$11:$P$15</definedName>
    <definedName name="ListAddressTypeCode">Lists!$P$11:$P$15</definedName>
    <definedName name="ListAddressTypeName">Lists!$O$11:$O$15</definedName>
    <definedName name="ListBizActivityType">Lists!$V$2:$W$14</definedName>
    <definedName name="ListBizActivityTypeCode">Lists!$W$2:$W$14</definedName>
    <definedName name="ListBizActivityTypeName">Lists!$U$2:$U$14</definedName>
    <definedName name="ListBoolean">Lists!$A$5:$A$6</definedName>
    <definedName name="ListCountry">Lists!$F$2:$G$252</definedName>
    <definedName name="ListCountryCode">Lists!$G$2:$G$252</definedName>
    <definedName name="ListCountryName">Lists!$F$2:$F$252</definedName>
    <definedName name="ListCountryReverse">Lists!$C$2:$D$252</definedName>
    <definedName name="ListCurrency">Lists!$L$2:$M$163</definedName>
    <definedName name="ListCurrencyCode">Lists!$M$2:$M$163</definedName>
    <definedName name="ListCurrencyName">Lists!$L$2:$L$163</definedName>
    <definedName name="ListCurrencyReverse">Lists!$Y$1:$Z$183</definedName>
    <definedName name="ListDocumentType">Lists!$R$2:$S$9</definedName>
    <definedName name="ListDocumentTypeCode">Lists!$S$2:$S$9</definedName>
    <definedName name="ListDocumentTypeName">Lists!$R$2:$R$9</definedName>
    <definedName name="ListLanguage">Lists!$I$2:$J$187</definedName>
    <definedName name="ListLanguageCode">Lists!$J$2:$J$187</definedName>
    <definedName name="ListLanguageName">Lists!$I$2:$I$187</definedName>
    <definedName name="ListMessageType">Lists!$O$2:$P$3</definedName>
    <definedName name="ListMessageTypeCode">Lists!$P$2:$P$3</definedName>
    <definedName name="ListMessageTypeName">Lists!$O$2:$O$3</definedName>
    <definedName name="ListReportingRole">Lists!$O$6:$P$8</definedName>
    <definedName name="ListReportingRoleCode">Lists!$P$6:$P$8</definedName>
    <definedName name="ListReportingRoleName">Lists!$O$6:$O$8</definedName>
    <definedName name="ListSummaryRef">Lists!$O$18:$P$27</definedName>
    <definedName name="ListSummaryRefCode">Lists!$P$18:$P$27</definedName>
    <definedName name="ListSummaryRefName">Lists!$O$18:$O$27</definedName>
    <definedName name="_xlnm.Print_Area" localSheetId="0">'Table 1 Revenue'!$A$1:$L$57</definedName>
    <definedName name="ReportType">Lists!$A$2</definedName>
    <definedName name="Table1_Columns">'Table 1 Revenue'!#REF!</definedName>
    <definedName name="Table1RevenueCurrencyCode">'Table 1 Revenue'!$A$3</definedName>
    <definedName name="Table1RevenueCurrencyLabel">'Table 1 Revenue'!$A$2</definedName>
    <definedName name="Table2_Columns">'Table 2 Entities'!#REF!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8" i="1" l="1"/>
  <c r="K59" i="1" s="1"/>
  <c r="J58" i="1"/>
  <c r="J59" i="1" s="1"/>
  <c r="I58" i="1"/>
  <c r="I59" i="1" s="1"/>
  <c r="H58" i="1"/>
  <c r="H59" i="1" s="1"/>
  <c r="G58" i="1"/>
  <c r="G59" i="1" s="1"/>
  <c r="F58" i="1"/>
  <c r="F59" i="1" s="1"/>
  <c r="E58" i="1"/>
  <c r="E59" i="1" s="1"/>
  <c r="C58" i="1" l="1"/>
  <c r="C59" i="1" s="1"/>
  <c r="B58" i="1" l="1"/>
  <c r="B59" i="1" s="1"/>
  <c r="D58" i="1" l="1"/>
  <c r="D59" i="1" s="1"/>
</calcChain>
</file>

<file path=xl/sharedStrings.xml><?xml version="1.0" encoding="utf-8"?>
<sst xmlns="http://schemas.openxmlformats.org/spreadsheetml/2006/main" count="3861" uniqueCount="1778">
  <si>
    <t>Currency</t>
  </si>
  <si>
    <t>USD</t>
  </si>
  <si>
    <t>Revenues</t>
  </si>
  <si>
    <r>
      <t>Tangible Assets other than Cash and Cash equivalents
(</t>
    </r>
    <r>
      <rPr>
        <sz val="11"/>
        <color rgb="FFFF0000"/>
        <rFont val="Calibri"/>
        <family val="2"/>
        <scheme val="minor"/>
      </rPr>
      <t>Mandatory</t>
    </r>
    <r>
      <rPr>
        <sz val="11"/>
        <color theme="1"/>
        <rFont val="Calibri"/>
        <family val="2"/>
        <scheme val="minor"/>
      </rPr>
      <t>)</t>
    </r>
  </si>
  <si>
    <t>1.10</t>
  </si>
  <si>
    <t>Angola</t>
  </si>
  <si>
    <t>Argentina</t>
  </si>
  <si>
    <t>Australia</t>
  </si>
  <si>
    <t>Belgium</t>
  </si>
  <si>
    <t>Bermuda</t>
  </si>
  <si>
    <t>Botswana</t>
  </si>
  <si>
    <t>Brazil</t>
  </si>
  <si>
    <t>Virgin Islands (British)</t>
  </si>
  <si>
    <t>Canada</t>
  </si>
  <si>
    <t>Chile</t>
  </si>
  <si>
    <t>Colombia</t>
  </si>
  <si>
    <t>China</t>
  </si>
  <si>
    <t>Congo (Democratic Republic of the)</t>
  </si>
  <si>
    <t>France</t>
  </si>
  <si>
    <t>Taiwan, Province of China[a]</t>
  </si>
  <si>
    <t>Ecuador</t>
  </si>
  <si>
    <t>Finland</t>
  </si>
  <si>
    <t>Germany</t>
  </si>
  <si>
    <t>Guernsey</t>
  </si>
  <si>
    <t>Hong Kong</t>
  </si>
  <si>
    <t>India</t>
  </si>
  <si>
    <t>Indonesia</t>
  </si>
  <si>
    <t>Isle of Man</t>
  </si>
  <si>
    <t>Ireland</t>
  </si>
  <si>
    <t>Israel</t>
  </si>
  <si>
    <t>Italy</t>
  </si>
  <si>
    <t>Japan</t>
  </si>
  <si>
    <t>Liberia</t>
  </si>
  <si>
    <t>Lesotho</t>
  </si>
  <si>
    <t>Luxembourg</t>
  </si>
  <si>
    <t>Macao</t>
  </si>
  <si>
    <t>Mexico</t>
  </si>
  <si>
    <t>Mozambique</t>
  </si>
  <si>
    <t>Netherlands</t>
  </si>
  <si>
    <t>Namibia</t>
  </si>
  <si>
    <t>Norway</t>
  </si>
  <si>
    <t>Papua New Guinea</t>
  </si>
  <si>
    <t>Peru</t>
  </si>
  <si>
    <t>Philippines</t>
  </si>
  <si>
    <t>Singapore</t>
  </si>
  <si>
    <t>South Africa</t>
  </si>
  <si>
    <t>Sweden</t>
  </si>
  <si>
    <t>Switzerland</t>
  </si>
  <si>
    <t>Tanzania, United Republic of</t>
  </si>
  <si>
    <t>United Arab Emirates</t>
  </si>
  <si>
    <t>United Kingdom</t>
  </si>
  <si>
    <t>United States of America</t>
  </si>
  <si>
    <t>Venezuela (Bolivarian Republic of)</t>
  </si>
  <si>
    <t>Zambia</t>
  </si>
  <si>
    <t>Zimbabwe</t>
  </si>
  <si>
    <t xml:space="preserve">Research and Development
</t>
  </si>
  <si>
    <t>Holding or Managing Intellectual Property</t>
  </si>
  <si>
    <t>Purchasing or Procurement</t>
  </si>
  <si>
    <t>Manufacturing or Production</t>
  </si>
  <si>
    <t>Sales, Marketing or Distribution</t>
  </si>
  <si>
    <t>Administrative, Management or Support Services</t>
  </si>
  <si>
    <t>Provision of Services to Unrelated Parties</t>
  </si>
  <si>
    <t>Internal Group Finance</t>
  </si>
  <si>
    <t>Regulated Financial Services</t>
  </si>
  <si>
    <t>Insurance</t>
  </si>
  <si>
    <t>Holding Shares or Other Equity Instruments</t>
  </si>
  <si>
    <t>Dormant</t>
  </si>
  <si>
    <t>Other</t>
  </si>
  <si>
    <t>Additional Entity Information</t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</si>
  <si>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</si>
  <si>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</si>
  <si>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</si>
  <si>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</si>
  <si>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</si>
  <si>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</si>
  <si>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</si>
  <si>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</si>
  <si>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</si>
  <si>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</si>
  <si>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</si>
  <si>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</si>
  <si>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</si>
  <si>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</si>
  <si>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</si>
  <si>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</si>
  <si>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</si>
  <si>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</si>
  <si>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</si>
  <si>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2.20</t>
  </si>
  <si>
    <t>2.21</t>
  </si>
  <si>
    <t>2.22</t>
  </si>
  <si>
    <t>2.23</t>
  </si>
  <si>
    <t>2.24</t>
  </si>
  <si>
    <t>2.25</t>
  </si>
  <si>
    <t>2.26</t>
  </si>
  <si>
    <t>2.27</t>
  </si>
  <si>
    <t>2.28</t>
  </si>
  <si>
    <t>2.29</t>
  </si>
  <si>
    <t>2.30</t>
  </si>
  <si>
    <t>2.31</t>
  </si>
  <si>
    <t>2.32</t>
  </si>
  <si>
    <t>2.33</t>
  </si>
  <si>
    <t>2.34</t>
  </si>
  <si>
    <t xml:space="preserve">0912055 BC Ltd </t>
  </si>
  <si>
    <t>CA</t>
  </si>
  <si>
    <t>Yes</t>
  </si>
  <si>
    <t>4259785 Canada Inc.</t>
  </si>
  <si>
    <t>AU</t>
  </si>
  <si>
    <t>A.R.H. Investments Limited</t>
  </si>
  <si>
    <t>GB</t>
  </si>
  <si>
    <t>JE</t>
  </si>
  <si>
    <t>A.R.H. Limited</t>
  </si>
  <si>
    <t>NL</t>
  </si>
  <si>
    <t>AA Sakatti Mining Oy</t>
  </si>
  <si>
    <t>FI</t>
  </si>
  <si>
    <t>Exploration</t>
  </si>
  <si>
    <t>ACRO (Hanise) (Pty) Ltd</t>
  </si>
  <si>
    <t>ZA</t>
  </si>
  <si>
    <t>ZW</t>
  </si>
  <si>
    <t>IE</t>
  </si>
  <si>
    <t>Almenta 127 (Pty) Ltd</t>
  </si>
  <si>
    <t>Amaprop Townships Limited</t>
  </si>
  <si>
    <t>Holder of property</t>
  </si>
  <si>
    <t>CD</t>
  </si>
  <si>
    <t>Ambase Investment Africa (Botswana) (Pty) Ltd</t>
  </si>
  <si>
    <t>Ambase Investment Africa (DRC) (Pty) Ltd</t>
  </si>
  <si>
    <t>Ambase Investment Africa (Namibia) (Pty) Ltd</t>
  </si>
  <si>
    <t>Ambase Investment Africa (Tanzania) (Pty) Ltd</t>
  </si>
  <si>
    <t>Ambase Investment Africa (Zambia) (Pty) Ltd</t>
  </si>
  <si>
    <t>Ambase Prospecting (Botswana) (Pty) Ltd</t>
  </si>
  <si>
    <t>BW</t>
  </si>
  <si>
    <t>Ambase Prospecting (Namibia) (Pty) Ltd</t>
  </si>
  <si>
    <t>NA</t>
  </si>
  <si>
    <t>Ambase Prospecting (Tanzania) (Pty) Ltd</t>
  </si>
  <si>
    <t>TZ</t>
  </si>
  <si>
    <t>Ambras Holdings Limited</t>
  </si>
  <si>
    <t>Amcoal Collieries Recruiting Organisation (Pty) Limited</t>
  </si>
  <si>
    <t>Ammin Coal Holdings Limited</t>
  </si>
  <si>
    <t>Ampros (Pty) Ltd</t>
  </si>
  <si>
    <t>Amzim Holdings Limited</t>
  </si>
  <si>
    <t>Anglo African Exploration Holdings Limited</t>
  </si>
  <si>
    <t>IN</t>
  </si>
  <si>
    <t>Anglo American (London)</t>
  </si>
  <si>
    <t>Anglo American (London) 2</t>
  </si>
  <si>
    <t>Anglo American (TIIL) Investments Limited</t>
  </si>
  <si>
    <t>Anglo American 2005 Limited</t>
  </si>
  <si>
    <t>Anglo American Amcoll (UK) Limited</t>
  </si>
  <si>
    <t>CY</t>
  </si>
  <si>
    <t>Anglo American Australia Finance Limited</t>
  </si>
  <si>
    <t>Anglo American Australia Investments Limited</t>
  </si>
  <si>
    <t>Anglo American Australia Limited</t>
  </si>
  <si>
    <t>Anglo American Buttercup Company Limited</t>
  </si>
  <si>
    <t>Anglo American Capital Australia Limited</t>
  </si>
  <si>
    <t>Anglo American Capital International Limited</t>
  </si>
  <si>
    <t>Anglo American Capital Overseas Limited</t>
  </si>
  <si>
    <t>Anglo American Capital plc</t>
  </si>
  <si>
    <t>Anglo American Chile Inversiones S.A.</t>
  </si>
  <si>
    <t>CL</t>
  </si>
  <si>
    <t>Anglo American Chile Investments (UK) Limited</t>
  </si>
  <si>
    <t>Anglo American Chile Ltda</t>
  </si>
  <si>
    <t>Anglo American Chile Ltda - Peru PE</t>
  </si>
  <si>
    <t>PE</t>
  </si>
  <si>
    <t>Anglo American Clarent (UK) Limited</t>
  </si>
  <si>
    <t>Anglo American CMC Holdings Limited</t>
  </si>
  <si>
    <t>Anglo American Colombia Exploration S.A.</t>
  </si>
  <si>
    <t>CO</t>
  </si>
  <si>
    <t>BR</t>
  </si>
  <si>
    <t>Anglo American Corporate Secretary Limited</t>
  </si>
  <si>
    <t>Anglo American Corporation Botswana (Services) Limited</t>
  </si>
  <si>
    <t>Anglo American Corporation de Chile Holdings Limited</t>
  </si>
  <si>
    <t>LR</t>
  </si>
  <si>
    <t>MZ</t>
  </si>
  <si>
    <t>Anglo American Corporation of South Africa (Pty) Ltd</t>
  </si>
  <si>
    <t>Anglo American Corporation Zimbabwe Limited</t>
  </si>
  <si>
    <t>Anglo American Diamond Holdings Limited</t>
  </si>
  <si>
    <t>Anglo American EMEA Shared Services (Pty) Ltd</t>
  </si>
  <si>
    <t>Anglo American Exploration (Australia) Pty Ltd</t>
  </si>
  <si>
    <t>Anglo American Exploration (Canada) Ltd.</t>
  </si>
  <si>
    <t xml:space="preserve">Exploration  </t>
  </si>
  <si>
    <t>Anglo American Exploration (India) Private Limited</t>
  </si>
  <si>
    <t>Anglo American Exploration (Philippines) B.V.</t>
  </si>
  <si>
    <t>Anglo American Exploration (Philippines) Inc.</t>
  </si>
  <si>
    <t>PH</t>
  </si>
  <si>
    <t>Anglo American Exploration (Singapore) Pte. Ltd.</t>
  </si>
  <si>
    <t>SG</t>
  </si>
  <si>
    <t>Anglo American Exploration (USA), Inc.</t>
  </si>
  <si>
    <t>US</t>
  </si>
  <si>
    <t>DE</t>
  </si>
  <si>
    <t>Anglo American Exploration B.V.</t>
  </si>
  <si>
    <t>Anglo American Exploration B.V. - Finnish PE</t>
  </si>
  <si>
    <t>Anglo American Exploration Overseas Holdings Limited</t>
  </si>
  <si>
    <t>Anglo American Exploration PNG Limited</t>
  </si>
  <si>
    <t>PG</t>
  </si>
  <si>
    <t>Anglo American Farms (Pty) Ltd</t>
  </si>
  <si>
    <t>Anglo American Farms (UK) Limited</t>
  </si>
  <si>
    <t>Anglo American Farms Investment Holdings (Pty) Ltd</t>
  </si>
  <si>
    <t>Anglo American Ferrous 2</t>
  </si>
  <si>
    <t>Anglo American Ferrous Investments (Overseas) Limited</t>
  </si>
  <si>
    <t>Anglo American Ferrous Investments Limited</t>
  </si>
  <si>
    <t>Anglo American Finance (UK) Limited</t>
  </si>
  <si>
    <t>Anglo American Finance Overseas Holdings Limited</t>
  </si>
  <si>
    <t>Anglo American Global Finance Limited</t>
  </si>
  <si>
    <t>Anglo American Group Employee Shareholder Nominees (Pty) Ltd</t>
  </si>
  <si>
    <t>Anglo American Group Foundation</t>
  </si>
  <si>
    <t>Anglo American Hermitage Limited</t>
  </si>
  <si>
    <t>Anglo American Holdings Limited</t>
  </si>
  <si>
    <t>Anglo American International B.V.</t>
  </si>
  <si>
    <t>Anglo American International Holdings Limited</t>
  </si>
  <si>
    <t>Anglo American International Limited</t>
  </si>
  <si>
    <t>MU</t>
  </si>
  <si>
    <t>Anglo American Investimentos - Minério de Ferro Ltda.</t>
  </si>
  <si>
    <t>Anglo American Investments (NA) Limited</t>
  </si>
  <si>
    <t>Anglo American Investments (UK) Limited</t>
  </si>
  <si>
    <t>Anglo American Inyosi Coal (Pty) Ltd</t>
  </si>
  <si>
    <t>IT</t>
  </si>
  <si>
    <t>Anglo American Liberia Holdings Limited</t>
  </si>
  <si>
    <t>Anglo American Marketing Limited</t>
  </si>
  <si>
    <t>Anglo American Marketing Limited - Singapore branch</t>
  </si>
  <si>
    <t>Anglo American Medical Plan Limited</t>
  </si>
  <si>
    <t>Anglo American Metallurgical Coal Assets Eastern Australia Limited</t>
  </si>
  <si>
    <t>Anglo American Metallurgical Coal Assets Pty Ltd</t>
  </si>
  <si>
    <t>Anglo American Metallurgical Coal Finance Ltd</t>
  </si>
  <si>
    <t>Anglo American Metallurgical Coal Holdings Limited</t>
  </si>
  <si>
    <t>Anglo American Metallurgical Coal Pty Ltd</t>
  </si>
  <si>
    <t>Anglo American Mexico S.A. de C.V.</t>
  </si>
  <si>
    <t>MX</t>
  </si>
  <si>
    <t>Anglo American Michiquillay Peru Limited</t>
  </si>
  <si>
    <t>Anglo American Midway Investment Limited</t>
  </si>
  <si>
    <t>Anglo American Minerio de Ferro Brasil S.A.</t>
  </si>
  <si>
    <t>Anglo American Mongolia Holdings Pte. Ltd.</t>
  </si>
  <si>
    <t>Anglo American Netherlands B.V.</t>
  </si>
  <si>
    <t>Anglo American Niquel Brasil Ltda.</t>
  </si>
  <si>
    <t>Anglo American Participacoes Minerio de Ferro Ltda.</t>
  </si>
  <si>
    <t>Anglo American Peru S.A.</t>
  </si>
  <si>
    <t>Anglo American Platinum Limited</t>
  </si>
  <si>
    <t>Anglo American Plc</t>
  </si>
  <si>
    <t>Anglo American PNG Holdings Limited</t>
  </si>
  <si>
    <t>Anglo American Prefco Limited</t>
  </si>
  <si>
    <t>Anglo American Properties Limited</t>
  </si>
  <si>
    <t>Anglo American Prospecting Services (Pty) Ltd</t>
  </si>
  <si>
    <t>Anglo American Quellaveco S.A.</t>
  </si>
  <si>
    <t>Anglo American REACH Limited</t>
  </si>
  <si>
    <t>Anglo American Representative Offices Limited</t>
  </si>
  <si>
    <t>Anglo American SA Finance Limited</t>
  </si>
  <si>
    <t>Anglo American Sebenza Fund (Pty) Ltd</t>
  </si>
  <si>
    <t>Anglo American SEFA Mining Fund (Pty) Ltd</t>
  </si>
  <si>
    <t>Anglo American Services (India) Private Limited</t>
  </si>
  <si>
    <t>Anglo American Services (International) Limited</t>
  </si>
  <si>
    <t>VG</t>
  </si>
  <si>
    <t>Anglo American Services (UK) Ltd</t>
  </si>
  <si>
    <t>Anglo American Services Overseas Limited</t>
  </si>
  <si>
    <t>Anglo American Servicios Perú S.A.</t>
  </si>
  <si>
    <t>Anglo American Sur S.A.</t>
  </si>
  <si>
    <t>Anglo American Thermal Coal (Australia) Pty. Ltd.</t>
  </si>
  <si>
    <t>Anglo American US Holdings Inc</t>
  </si>
  <si>
    <t>VE</t>
  </si>
  <si>
    <t>Not managed</t>
  </si>
  <si>
    <t>Anglo American Zimele Community Fund (Pty) Ltd</t>
  </si>
  <si>
    <t>Anglo American Zimele Green Fund (Pty) Ltd</t>
  </si>
  <si>
    <t>Anglo Australia Investments Limited</t>
  </si>
  <si>
    <t>Anglo Base Metals Marketing Limited</t>
  </si>
  <si>
    <t xml:space="preserve">Anglo Coal (Archveyor Management) Pty Limited </t>
  </si>
  <si>
    <t xml:space="preserve">Anglo Coal (Capcoal Management) Pty Limited </t>
  </si>
  <si>
    <t>Anglo Coal (Dawson Management) Pty Ltd</t>
  </si>
  <si>
    <t>Anglo Coal (Dawson Services) Pty Ltd</t>
  </si>
  <si>
    <t>Employment company</t>
  </si>
  <si>
    <t xml:space="preserve">Anglo Coal (Dawson South Management) Pty Ltd </t>
  </si>
  <si>
    <t>Anglo Coal (Dawson South) Pty Ltd</t>
  </si>
  <si>
    <t>Anglo Coal (Dawson) Holdings Pty Ltd</t>
  </si>
  <si>
    <t>Anglo Coal (Dawson) Limited</t>
  </si>
  <si>
    <t>Anglo Coal (German Creek) Pty Ltd</t>
  </si>
  <si>
    <t>Anglo Coal (Grasstree Management) Pty Limited</t>
  </si>
  <si>
    <t>Anglo Coal (Grosvenor Management) Pty Ltd</t>
  </si>
  <si>
    <t>Anglo Coal (Grosvenor) Pty Ltd</t>
  </si>
  <si>
    <t>Anglo Coal (Jellinbah) Holdings Pty Ltd</t>
  </si>
  <si>
    <t>Anglo Coal (Monash Energy) Holdings Pty Limited</t>
  </si>
  <si>
    <t xml:space="preserve">Anglo Coal (Moranbah North Management) Pty Limited </t>
  </si>
  <si>
    <t>Anglo Coal (Roper Creek) Pty Ltd</t>
  </si>
  <si>
    <t>Anglo Coal (Theodore South) Pty Ltd</t>
  </si>
  <si>
    <t>Anglo Coal Botswana (Pty) Ltd</t>
  </si>
  <si>
    <t>Anglo Coal Holdings Limited</t>
  </si>
  <si>
    <t>Anglo Coal International Limited</t>
  </si>
  <si>
    <t>Anglo Coal Investment Africa (Botswana) (Pty) Ltd</t>
  </si>
  <si>
    <t>Anglo Coal Overseas Services Limited</t>
  </si>
  <si>
    <t>Anglo Corporate Enterprises (Pty) Ltd</t>
  </si>
  <si>
    <t>Anglo Diamond Investments Limited</t>
  </si>
  <si>
    <t>Anglo Exploration (Zambia) Limited</t>
  </si>
  <si>
    <t>ZM</t>
  </si>
  <si>
    <t>Anglo Ferrous Brazil Participações S.A.</t>
  </si>
  <si>
    <t>Anglo Inyosi Coal Security Company Limited</t>
  </si>
  <si>
    <t>Anglo Loma Investments Limited</t>
  </si>
  <si>
    <t>Anglo Operations (Australia) Pty Ltd</t>
  </si>
  <si>
    <t>Anglo Operations (International) Limited</t>
  </si>
  <si>
    <t>Anglo Operations (Netherlands) B.V.</t>
  </si>
  <si>
    <t>Anglo Operations (Pty) Ltd</t>
  </si>
  <si>
    <t>Anglo Peru Investments Limited</t>
  </si>
  <si>
    <t>Anglo Platinum Marketing Limited</t>
  </si>
  <si>
    <t>Anglo Platinum Marketing Limited - Singapore branch</t>
  </si>
  <si>
    <t>Anglo Quellaveco Limited</t>
  </si>
  <si>
    <t>Anglo South Africa (Pty) Ltd</t>
  </si>
  <si>
    <t>Anglo South Africa Capital (Pty) Ltd</t>
  </si>
  <si>
    <t>Anglo UK Pension Trustee Limited</t>
  </si>
  <si>
    <t>Anglo Venezuela Investments Limited</t>
  </si>
  <si>
    <t>Anmercosa Finance Limited</t>
  </si>
  <si>
    <t>Anmercosa Pension Trustees Limited</t>
  </si>
  <si>
    <t>Anmercosa Sales Limited</t>
  </si>
  <si>
    <t>Anseld Holdings Proprietary Limited</t>
  </si>
  <si>
    <t>Asociación Michiquillay</t>
  </si>
  <si>
    <t>Asociación Quellaveco</t>
  </si>
  <si>
    <t>Atomatic Trading (Pty) Ltd</t>
  </si>
  <si>
    <t>Aval Holdings Limited</t>
  </si>
  <si>
    <t>Balgo Nominees (Pty) Ltd</t>
  </si>
  <si>
    <t>Big Hill, LLC</t>
  </si>
  <si>
    <t>Birchall Gardens LLP</t>
  </si>
  <si>
    <t>Property Investment</t>
  </si>
  <si>
    <t>Blinkwater Farms 244KR (Pty) Ltd</t>
  </si>
  <si>
    <t>Broadlands Park Limited</t>
  </si>
  <si>
    <t>Butsanani Energy Investment Holdings (Pty) Ltd</t>
  </si>
  <si>
    <t>Cencan plc</t>
  </si>
  <si>
    <t>Chamfron Limited</t>
  </si>
  <si>
    <t>Charterhouse CAP Ltd</t>
  </si>
  <si>
    <t>Cheviot Holdings Limited</t>
  </si>
  <si>
    <t>KY</t>
  </si>
  <si>
    <t>Colliery Training College (Pty) Ltd</t>
  </si>
  <si>
    <t>Compania Minera Dona Ines De Collahuasi SCM</t>
  </si>
  <si>
    <t>Compañía Minera Westwall S.C.M</t>
  </si>
  <si>
    <t>Coromin Insurance (Ireland) DAC</t>
  </si>
  <si>
    <t>Coromin Limited</t>
  </si>
  <si>
    <t>BM</t>
  </si>
  <si>
    <t>Dawson Coal Processing Pty Ltd</t>
  </si>
  <si>
    <t xml:space="preserve">Dawson Highwall Mining Pty Ltd </t>
  </si>
  <si>
    <t xml:space="preserve">Dawson Sales Pty Ltd </t>
  </si>
  <si>
    <t>Dawson South Sales Pty Ltd</t>
  </si>
  <si>
    <t>DBCM Holdings (Pty) Ltd</t>
  </si>
  <si>
    <t>AO</t>
  </si>
  <si>
    <t>De Beers Angola Investments Limited</t>
  </si>
  <si>
    <t>De Beers Angola Prospecting Pty Ltd</t>
  </si>
  <si>
    <t>De Beers Auction Sales Belgium NV</t>
  </si>
  <si>
    <t>BE</t>
  </si>
  <si>
    <t>De Beers Auction Sales Holdings Ltd</t>
  </si>
  <si>
    <t>HK</t>
  </si>
  <si>
    <t>De Beers Auction Sales Israel Ltd</t>
  </si>
  <si>
    <t>IL</t>
  </si>
  <si>
    <t>De Beers Auction Sales Singapore Pte. Ltd.</t>
  </si>
  <si>
    <t>De Beers Australia Exploration Limited</t>
  </si>
  <si>
    <t>WA</t>
  </si>
  <si>
    <t>De Beers Canada Holdings Inc.</t>
  </si>
  <si>
    <t>De Beers Canada Inc.</t>
  </si>
  <si>
    <t>De Beers Centenary AG</t>
  </si>
  <si>
    <t>CH</t>
  </si>
  <si>
    <t>De Beers Centenary Angola Properties Ltd</t>
  </si>
  <si>
    <t xml:space="preserve">De Beers Consolidated Mines (Pty) Ltd </t>
  </si>
  <si>
    <t>De Beers DRC Exploration SARL</t>
  </si>
  <si>
    <t>De Beers Exploration Holdings Limited</t>
  </si>
  <si>
    <t>De Beers Global Sightholder Sales (Pty) Ltd</t>
  </si>
  <si>
    <t>De Beers Holdings Botswana (Pty) Ltd</t>
  </si>
  <si>
    <t>De Beers Holdings Investments Limited</t>
  </si>
  <si>
    <t>De Beers India Private Limited</t>
  </si>
  <si>
    <t>De Beers Intangibles Ltd</t>
  </si>
  <si>
    <t>De Beers Marine (Pty) Ltd - Norwegian PE</t>
  </si>
  <si>
    <t>NO</t>
  </si>
  <si>
    <t>De Beers Marine Namibia (Pty) Ltd</t>
  </si>
  <si>
    <t>De Beers Marine (Pty) Ltd</t>
  </si>
  <si>
    <t>De Beers Matlafalang Business Development (Pty) Ltd</t>
  </si>
  <si>
    <t>De Beers Namibia Holdings (Pty) Ltd</t>
  </si>
  <si>
    <t>De Beers plc</t>
  </si>
  <si>
    <t>De Beers plc - Swiss branch</t>
  </si>
  <si>
    <t>De Beers Sightholder Sales South Africa (Pty) Ltd</t>
  </si>
  <si>
    <t>De Beers Trademarks Ltd</t>
  </si>
  <si>
    <t>De Beers UK Ltd</t>
  </si>
  <si>
    <t>De Beers UK Ltd - Swiss PE</t>
  </si>
  <si>
    <t>Debmarine Namdeb Foundation</t>
  </si>
  <si>
    <t>Debswana ART Fund Trust</t>
  </si>
  <si>
    <t>Debswana Diamond Company (Pty) Ltd</t>
  </si>
  <si>
    <t>Delibes Holdings Limited</t>
  </si>
  <si>
    <t>Diamond Trading Company Botswana (Pty) Ltd</t>
  </si>
  <si>
    <t>Diamond Trading Company Proprietary Ltd NV</t>
  </si>
  <si>
    <t>Dido Nominees (Pty) Ltd</t>
  </si>
  <si>
    <t>DTC Valuations Namibia (Pty) Ltd</t>
  </si>
  <si>
    <t xml:space="preserve">Ebbsfleet Property Limited </t>
  </si>
  <si>
    <t>Element Six (Holdings) Limited</t>
  </si>
  <si>
    <t>Element Six (Isle of Man) Corporate Trustee Limited</t>
  </si>
  <si>
    <t>IM</t>
  </si>
  <si>
    <t>Element Six (Production) Ltd</t>
  </si>
  <si>
    <t>Element Six (Production) (Pty) Ltd</t>
  </si>
  <si>
    <t>Element Six (Trade Marks)</t>
  </si>
  <si>
    <t>Element Six (UK) Ltd</t>
  </si>
  <si>
    <t>Pension entity</t>
  </si>
  <si>
    <t>Element Six AB</t>
  </si>
  <si>
    <t>SE</t>
  </si>
  <si>
    <t>Element Six Abrasives Treasury Limited</t>
  </si>
  <si>
    <t>Element Six GmbH (DECAR)</t>
  </si>
  <si>
    <t>Element Six Hard Materials (Wuxi) Co., Ltd</t>
  </si>
  <si>
    <t>CN</t>
  </si>
  <si>
    <t>Element Six Abrasive Holdings Limited</t>
  </si>
  <si>
    <t>Element Six Ltda.</t>
  </si>
  <si>
    <t>Element Six Limited</t>
  </si>
  <si>
    <t>Element Six Ltd</t>
  </si>
  <si>
    <t>JP</t>
  </si>
  <si>
    <t>Element Six N.V.</t>
  </si>
  <si>
    <t>Element Six SA</t>
  </si>
  <si>
    <t>Element Six South Africa (Pty) Ltd</t>
  </si>
  <si>
    <t>Element Six Technologies Holding Ltd</t>
  </si>
  <si>
    <t>MT</t>
  </si>
  <si>
    <t>Element Six Technologies Ltd</t>
  </si>
  <si>
    <t>Element Six Technologies U.S. Corporation</t>
  </si>
  <si>
    <t>Element Six Trading (Shanghai) Co., Ltd</t>
  </si>
  <si>
    <t>Element Six Treasury Limited</t>
  </si>
  <si>
    <t>Element Six US Corporation</t>
  </si>
  <si>
    <t>Erabas B.V.</t>
  </si>
  <si>
    <t>Exclusive Properties (Pty) Ltd</t>
  </si>
  <si>
    <t>Fermain Nominees (Pty) Ltd</t>
  </si>
  <si>
    <t>Ferro Nickel Marketing Limited</t>
  </si>
  <si>
    <t>Ferroport Logística Comercial Exportadora S.A.</t>
  </si>
  <si>
    <t>Firecrest Investments Limited</t>
  </si>
  <si>
    <t>Forevermark Diamonds Private Limited</t>
  </si>
  <si>
    <t>Forevermark Italy S.R.L.</t>
  </si>
  <si>
    <t>Forevermark KK</t>
  </si>
  <si>
    <t>Forevermark Limited</t>
  </si>
  <si>
    <t>Forevermark Marketing Shanghai Company Limited</t>
  </si>
  <si>
    <t>Forevermark US, Inc.</t>
  </si>
  <si>
    <t>German Creek Coal Pty. Limited</t>
  </si>
  <si>
    <t>Grosvenor Sales Pty Ltd</t>
  </si>
  <si>
    <t>High Ground Investments Limited</t>
  </si>
  <si>
    <t>Highbirch Ltd</t>
  </si>
  <si>
    <t>Holdac Limited</t>
  </si>
  <si>
    <t>IIDGR (UK) Limited</t>
  </si>
  <si>
    <t>IIDGR Holdings Limited</t>
  </si>
  <si>
    <t>Ingagane Colliery (Pty) Ltd</t>
  </si>
  <si>
    <t>Inglewood Holdings Limited</t>
  </si>
  <si>
    <t>Inglewood Minerals Private Limited</t>
  </si>
  <si>
    <t>Instituto Anglo American Brasil</t>
  </si>
  <si>
    <t>Associative activities</t>
  </si>
  <si>
    <t>International Institute of Diamond Grading and Research (Belgium) NV</t>
  </si>
  <si>
    <t>International Institute of Diamond Grading &amp; Research India Private Limited</t>
  </si>
  <si>
    <t>International Institute of Diamond Valuation Inc.</t>
  </si>
  <si>
    <t>Intersea Pension Services Ltd</t>
  </si>
  <si>
    <t>GG</t>
  </si>
  <si>
    <t>Jena Pty. Limited</t>
  </si>
  <si>
    <t>Kaymin Resources Limited</t>
  </si>
  <si>
    <t>KIO Exploration Liberia Sarl</t>
  </si>
  <si>
    <t>LU</t>
  </si>
  <si>
    <t>KIO Investments Holdings (Pty) Ltd</t>
  </si>
  <si>
    <t>Kumba BSP Trust</t>
  </si>
  <si>
    <t>Kumba Iron Ore Limited</t>
  </si>
  <si>
    <t>Kumba Singapore Pte. Ltd.</t>
  </si>
  <si>
    <t>Lansan Investment Holdings (Pty) Ltd</t>
  </si>
  <si>
    <t>Loma de Niquel Holdings B.V.</t>
  </si>
  <si>
    <t>Loma de Niquel Holdings Limited</t>
  </si>
  <si>
    <t>Longboat (Pty) Ltd</t>
  </si>
  <si>
    <t>Longboat Trading (Pty) Ltd</t>
  </si>
  <si>
    <t>Mafube Coal Mining (Pty) Ltd</t>
  </si>
  <si>
    <t>Main Street 1252 (Pty) Ltd</t>
  </si>
  <si>
    <t>Mallord Properties Limited</t>
  </si>
  <si>
    <t>Marikana Ferrochrome Limited</t>
  </si>
  <si>
    <t>Marikana Minerals (Pty) Ltd</t>
  </si>
  <si>
    <t>Matthey Rustenburg Refiners(Pty)Ltd</t>
  </si>
  <si>
    <t>Minera Anglo American Argentina S.A.</t>
  </si>
  <si>
    <t>AR</t>
  </si>
  <si>
    <t>Minera Loma de Niquel C.A</t>
  </si>
  <si>
    <t>Mineração Itamaracá Ltda.</t>
  </si>
  <si>
    <t>Mineração Tariana Ltda.</t>
  </si>
  <si>
    <t>Minorco Exploration (Indonesia) B.V.</t>
  </si>
  <si>
    <t>Minorco Peru Holdings Limited</t>
  </si>
  <si>
    <t>Minpress Investments Limited</t>
  </si>
  <si>
    <t>Mogalakwena Platinum Mines</t>
  </si>
  <si>
    <t>Monash Energy Coal Ltd</t>
  </si>
  <si>
    <t>Moranbah North Coal (No2) Pty Ltd</t>
  </si>
  <si>
    <t>Moranbah North Coal (Sales) Pty Ltd</t>
  </si>
  <si>
    <t>Moranbah North Coal Pty Ltd</t>
  </si>
  <si>
    <t>MR Iron Ore Marketing Services Singapore Pte. Ltd.</t>
  </si>
  <si>
    <t>Namdeb Diamond Corporation (Pty) Ltd</t>
  </si>
  <si>
    <t>Namdeb Holdings (Pty) Ltd</t>
  </si>
  <si>
    <t>Namdeb Hospital Pharmacy (Pty) Ltd</t>
  </si>
  <si>
    <t>Namdeb Properties (Pty) Ltd</t>
  </si>
  <si>
    <t>Namibia Diamond Trading Company (Pty) Ltd</t>
  </si>
  <si>
    <t>Neville Street Limited</t>
  </si>
  <si>
    <t>Newshelf 1316 (Pty) Ltd</t>
  </si>
  <si>
    <t>Newshelf 480 (Pty) Ltd</t>
  </si>
  <si>
    <t>Norsand Holdings (Pty) Ltd</t>
  </si>
  <si>
    <t>Northfleet Property LLP</t>
  </si>
  <si>
    <t>Oranjemund Town Management Company (Pty) Ltd</t>
  </si>
  <si>
    <t>Peace River Coal Inc.</t>
  </si>
  <si>
    <t>Peruke (Pty) Ltd</t>
  </si>
  <si>
    <t>PGI KK</t>
  </si>
  <si>
    <t>Consultancy, market research and promotion</t>
  </si>
  <si>
    <t>PGI SA</t>
  </si>
  <si>
    <t>Platinum Guild India Private Limited</t>
  </si>
  <si>
    <t>Platinum Guild International (Shanghai) Co., Ltd</t>
  </si>
  <si>
    <t>Platinum Guild International (U.S.A.) Jewelry Inc.</t>
  </si>
  <si>
    <t>Platinum Guild International (Hong Kong) Limited</t>
  </si>
  <si>
    <t>Platmed(Pty)Ltd</t>
  </si>
  <si>
    <t>Platmed Properties (Pty) Ltd</t>
  </si>
  <si>
    <t>PT Anglo American Indonesia</t>
  </si>
  <si>
    <t>ID</t>
  </si>
  <si>
    <t>PT Minorco Services Indonesia</t>
  </si>
  <si>
    <t>Resident Nominees (Pty) Ltd</t>
  </si>
  <si>
    <t>Reunion Group Limited</t>
  </si>
  <si>
    <t>Reunion Mining Limited</t>
  </si>
  <si>
    <t>Rhoanglo Trustees Limited</t>
  </si>
  <si>
    <t>Riverbank Investments Ltd</t>
  </si>
  <si>
    <t>Rustenburg Platinum Mines Limited</t>
  </si>
  <si>
    <t>Scallion Limited</t>
  </si>
  <si>
    <t>Security Nominees Limited</t>
  </si>
  <si>
    <t>Servicios Anglo American Mexico S.A. de C.V.</t>
  </si>
  <si>
    <t>Sibelo Resource Development (Pty) Ltd</t>
  </si>
  <si>
    <t>Sishen Iron Ore Company (Pty) Ltd</t>
  </si>
  <si>
    <t>Southridge Limited</t>
  </si>
  <si>
    <t>Springfield Collieries Limited</t>
  </si>
  <si>
    <t>Swanscombe Developments LLP</t>
  </si>
  <si>
    <t>Tenon Investment Holdings (Pty) Ltd</t>
  </si>
  <si>
    <t>The Diamond Trading Company Limited</t>
  </si>
  <si>
    <t>The Village of Cullinan (Pty) Ltd</t>
  </si>
  <si>
    <t>Unki Mines (Private) Limited</t>
  </si>
  <si>
    <t>Vergelegen Wine Estate (Pty) Ltd</t>
  </si>
  <si>
    <t>Vergelegen Wines (Pty) Ltd</t>
  </si>
  <si>
    <t>Amcoal Collieries Recruiting Organisation (Lesotho) (Pty) Ltd</t>
  </si>
  <si>
    <t>LS</t>
  </si>
  <si>
    <t>Anglo American (Star Mountain) Limited</t>
  </si>
  <si>
    <t>Anglo American (TIH) B.V.</t>
  </si>
  <si>
    <t>Anglo American Ecuador S.A.</t>
  </si>
  <si>
    <t>EC</t>
  </si>
  <si>
    <t>Anglo American Kumba Exploration (Liberia) Ltd</t>
  </si>
  <si>
    <t>Anglo American Overseas Limited</t>
  </si>
  <si>
    <t>Anglo American Resources Trading (China) Co. Ltd.</t>
  </si>
  <si>
    <t>Anglo American South Africa Investments Proprietary Limited</t>
  </si>
  <si>
    <t>Anglo South American Investments Limited</t>
  </si>
  <si>
    <t>Cobre del Norte S.A.</t>
  </si>
  <si>
    <t>Lightbox Jewellery Limited</t>
  </si>
  <si>
    <t>De Beers Centenary Limited</t>
  </si>
  <si>
    <t>MO</t>
  </si>
  <si>
    <t>FR</t>
  </si>
  <si>
    <t>TW</t>
  </si>
  <si>
    <t>De Beers DMCC</t>
  </si>
  <si>
    <t>AE</t>
  </si>
  <si>
    <t>De Beers India Holdings Limited</t>
  </si>
  <si>
    <t>De Beers Jewellers Commercial (Shanghai) Co., Ltd</t>
  </si>
  <si>
    <t>Element Six Technologies (Oregon) Corp.</t>
  </si>
  <si>
    <t xml:space="preserve">Tokafala (Proprietary) Limited </t>
  </si>
  <si>
    <t>Question #</t>
  </si>
  <si>
    <t>XsdElement</t>
  </si>
  <si>
    <t>ColumnOffset</t>
  </si>
  <si>
    <t>RowOffset</t>
  </si>
  <si>
    <t>Button</t>
  </si>
  <si>
    <t>Lookup</t>
  </si>
  <si>
    <t>Don't use links</t>
  </si>
  <si>
    <t>CBC_OECD;CbcBody;CbcReports;ResCountryCode</t>
  </si>
  <si>
    <t>ListCountryReverse</t>
  </si>
  <si>
    <t>CBC_OECD;CbcBody;CbcReports;Summary;Revenues;Unrelated</t>
  </si>
  <si>
    <t>CBC_OECD;CbcBody;CbcReports;Summary;Revenues;Related</t>
  </si>
  <si>
    <t>CBC_OECD;CbcBody;CbcReports;Summary;Revenues;Total</t>
  </si>
  <si>
    <t>CBC_OECD;CbcBody;CbcReports;Summary;ProfitOrLoss</t>
  </si>
  <si>
    <t>CBC_OECD;CbcBody;CbcReports;Summary;TaxPaid</t>
  </si>
  <si>
    <t>CBC_OECD;CbcBody;CbcReports;Summary;TaxAccrued</t>
  </si>
  <si>
    <t>CBC_OECD;CbcBody;CbcReports;Summary;Capital</t>
  </si>
  <si>
    <t>CBC_OECD;CbcBody;CbcReports;Summary;Earnings</t>
  </si>
  <si>
    <t>CBC_OECD;CbcBody;CbcReports;Summary;NbEmployees</t>
  </si>
  <si>
    <t>CBC_OECD;CbcBody;CbcReports;Summary;Assets</t>
  </si>
  <si>
    <t>CBC_OECD;CbcBody;CbcReports;Summary;Revenues;Unrelated;currCode</t>
  </si>
  <si>
    <t>ListCurrencyReverse</t>
  </si>
  <si>
    <t>CBC_OECD;CbcBody;CbcReports;ConstEntities;ConstEntity;Name</t>
  </si>
  <si>
    <t>CBC_OECD;CbcBody;CbcReports;ConstEntities;ConstEntity;ResCountryCode</t>
  </si>
  <si>
    <t>CBC_OECD;CbcBody;CbcReports;ConstEntities;IncorpCountryCode</t>
  </si>
  <si>
    <t>CBC_OECD;CbcBody;CbcReports;ConstEntities;ConstEntity;TIN</t>
  </si>
  <si>
    <t>CBC_OECD;CbcBody;CbcReports;ConstEntities;ConstEntity;TIN;issuedBy</t>
  </si>
  <si>
    <t>CBC_OECD;CbcBody;CbcReports;ConstEntities;ConstEntity;IN</t>
  </si>
  <si>
    <t>CBC_OECD;CbcBody;CbcReports;ConstEntities;ConstEntity;IN;issuedBy</t>
  </si>
  <si>
    <t>CBC_OECD;CbcBody;CbcReports;ConstEntities;ConstEntity;IN;INType</t>
  </si>
  <si>
    <t>CBC_OECD;CbcBody;CbcReports;ConstEntities;ConstEntity;Address;legalAddressType</t>
  </si>
  <si>
    <t>CBC_OECD;CbcBody;CbcReports;ConstEntities;ConstEntity;Address;AddressFix;BuildingIdentifier</t>
  </si>
  <si>
    <t>CBC_OECD;CbcBody;CbcReports;ConstEntities;ConstEntity;Address;AddressFix;Street</t>
  </si>
  <si>
    <t>CBC_OECD;CbcBody;CbcReports;ConstEntities;ConstEntity;Address;AddressFix;SuiteIdentifier</t>
  </si>
  <si>
    <t>CBC_OECD;CbcBody;CbcReports;ConstEntities;ConstEntity;Address;AddressFix;FloorIdentifier</t>
  </si>
  <si>
    <t>CBC_OECD;CbcBody;CbcReports;ConstEntities;ConstEntity;Address;AddressFix;DistrictName</t>
  </si>
  <si>
    <t>CBC_OECD;CbcBody;CbcReports;ConstEntities;ConstEntity;Address;AddressFix;POB</t>
  </si>
  <si>
    <t>CBC_OECD;CbcBody;CbcReports;ConstEntities;ConstEntity;Address;AddressFix;PostCode</t>
  </si>
  <si>
    <t>CBC_OECD;CbcBody;CbcReports;ConstEntities;ConstEntity;Address;AddressFix;City</t>
  </si>
  <si>
    <t>CBC_OECD;CbcBody;CbcReports;ConstEntities;ConstEntity;Address;AddressFix;CountrySubentity</t>
  </si>
  <si>
    <t>CBC_OECD;CbcBody;CbcReports;ConstEntities;ConstEntity;Address;CountryCode</t>
  </si>
  <si>
    <t>CBC_OECD;CbcBody;CbcReports;ConstEntities;BizActivities</t>
  </si>
  <si>
    <t>CBC_OECD;CbcBody;CbcReports;ConstEntities;OtherEntityInfo</t>
  </si>
  <si>
    <t>ReportType</t>
  </si>
  <si>
    <t>Code</t>
  </si>
  <si>
    <t>Country</t>
  </si>
  <si>
    <t>Language</t>
  </si>
  <si>
    <t>MessageType</t>
  </si>
  <si>
    <t>DocumentType</t>
  </si>
  <si>
    <t>BizActivityType</t>
  </si>
  <si>
    <t>Index</t>
  </si>
  <si>
    <t>CBC</t>
  </si>
  <si>
    <t>AD</t>
  </si>
  <si>
    <t>Andorra</t>
  </si>
  <si>
    <t>Afghanistan</t>
  </si>
  <si>
    <t>AF</t>
  </si>
  <si>
    <t>Abkhaz</t>
  </si>
  <si>
    <t>AB</t>
  </si>
  <si>
    <t>UAE Dirham</t>
  </si>
  <si>
    <t>AED</t>
  </si>
  <si>
    <t>The message contains new information</t>
  </si>
  <si>
    <t>CBC401</t>
  </si>
  <si>
    <t>Resent Data</t>
  </si>
  <si>
    <t>OECD0</t>
  </si>
  <si>
    <t>Research and Development</t>
  </si>
  <si>
    <t>CBC501</t>
  </si>
  <si>
    <t>Åland Islands</t>
  </si>
  <si>
    <t>AX</t>
  </si>
  <si>
    <t>Afar</t>
  </si>
  <si>
    <t>AA</t>
  </si>
  <si>
    <t>Afghani</t>
  </si>
  <si>
    <t>AFN</t>
  </si>
  <si>
    <t>The message contains corrections for previously sent information</t>
  </si>
  <si>
    <t>CBC402</t>
  </si>
  <si>
    <t>New Data</t>
  </si>
  <si>
    <t>OECD1</t>
  </si>
  <si>
    <t>Holding or Managing intellectual property</t>
  </si>
  <si>
    <t>CBC502</t>
  </si>
  <si>
    <t>Boolean</t>
  </si>
  <si>
    <t>Albania</t>
  </si>
  <si>
    <t>AL</t>
  </si>
  <si>
    <t>Afrikaans</t>
  </si>
  <si>
    <t>Lek</t>
  </si>
  <si>
    <t>ALL</t>
  </si>
  <si>
    <t>Corrected Data</t>
  </si>
  <si>
    <t>OECD2</t>
  </si>
  <si>
    <t>CBC503</t>
  </si>
  <si>
    <t>AG</t>
  </si>
  <si>
    <t>Antigua and Barbuda</t>
  </si>
  <si>
    <t>Algeria</t>
  </si>
  <si>
    <t>DZ</t>
  </si>
  <si>
    <t>Akan</t>
  </si>
  <si>
    <t>AK</t>
  </si>
  <si>
    <t>Armenian Dram</t>
  </si>
  <si>
    <t>AMD</t>
  </si>
  <si>
    <t>ReportingRole</t>
  </si>
  <si>
    <t>Deletion of Data</t>
  </si>
  <si>
    <t>OECD3</t>
  </si>
  <si>
    <t>CBC504</t>
  </si>
  <si>
    <t>No</t>
  </si>
  <si>
    <t>AI</t>
  </si>
  <si>
    <t>Anguilla</t>
  </si>
  <si>
    <t>American Samoa</t>
  </si>
  <si>
    <t>AS</t>
  </si>
  <si>
    <t>Albanian</t>
  </si>
  <si>
    <t>SQ</t>
  </si>
  <si>
    <t>Netherlands Antillean Guilder</t>
  </si>
  <si>
    <t>ANG</t>
  </si>
  <si>
    <t>Ultimate Parent Entity</t>
  </si>
  <si>
    <t>CBC701</t>
  </si>
  <si>
    <t>Resent Test Data</t>
  </si>
  <si>
    <t>OECD10</t>
  </si>
  <si>
    <t>CBC505</t>
  </si>
  <si>
    <t>Amharic</t>
  </si>
  <si>
    <t>AM</t>
  </si>
  <si>
    <t>Kwanza</t>
  </si>
  <si>
    <t>AOA</t>
  </si>
  <si>
    <t>Surrogate Parent Entity</t>
  </si>
  <si>
    <t>CBC702</t>
  </si>
  <si>
    <t>New Test Data</t>
  </si>
  <si>
    <t>OECD11</t>
  </si>
  <si>
    <t>CBC506</t>
  </si>
  <si>
    <t>Armenia</t>
  </si>
  <si>
    <t>Arabic</t>
  </si>
  <si>
    <t>Argentine Peso</t>
  </si>
  <si>
    <t>ARS</t>
  </si>
  <si>
    <t>Local Filing</t>
  </si>
  <si>
    <t>CBC703</t>
  </si>
  <si>
    <t>Corrected Test Data</t>
  </si>
  <si>
    <t>OECD12</t>
  </si>
  <si>
    <t>Provision of Services to unrelated parties</t>
  </si>
  <si>
    <t>CBC507</t>
  </si>
  <si>
    <t>Aragonese</t>
  </si>
  <si>
    <t>AN</t>
  </si>
  <si>
    <t>Australian Dollar</t>
  </si>
  <si>
    <t>AUD</t>
  </si>
  <si>
    <t>Deletion of Test Data</t>
  </si>
  <si>
    <t>OECD13</t>
  </si>
  <si>
    <t>CBC508</t>
  </si>
  <si>
    <t>AQ</t>
  </si>
  <si>
    <t>Antarctica</t>
  </si>
  <si>
    <t>Armenian</t>
  </si>
  <si>
    <t>HY</t>
  </si>
  <si>
    <t>Aruban Florin</t>
  </si>
  <si>
    <t>AWG</t>
  </si>
  <si>
    <t>AddressType</t>
  </si>
  <si>
    <t>CBC509</t>
  </si>
  <si>
    <t>Assamese</t>
  </si>
  <si>
    <t>Azerbaijanian Manat</t>
  </si>
  <si>
    <t>AZN</t>
  </si>
  <si>
    <t xml:space="preserve">Business </t>
  </si>
  <si>
    <t>OECD303</t>
  </si>
  <si>
    <t>CBC510</t>
  </si>
  <si>
    <t>Avaric</t>
  </si>
  <si>
    <t>AV</t>
  </si>
  <si>
    <t>Convertible Mark</t>
  </si>
  <si>
    <t>BAM</t>
  </si>
  <si>
    <t xml:space="preserve">Registered office </t>
  </si>
  <si>
    <t>OECD304</t>
  </si>
  <si>
    <t>Holding shares or other equity instruments</t>
  </si>
  <si>
    <t>CBC511</t>
  </si>
  <si>
    <t>AT</t>
  </si>
  <si>
    <t>Austria</t>
  </si>
  <si>
    <t>Avestan</t>
  </si>
  <si>
    <t>Barbados Dollar</t>
  </si>
  <si>
    <t>BBD</t>
  </si>
  <si>
    <t xml:space="preserve">Residential </t>
  </si>
  <si>
    <t>OECD302</t>
  </si>
  <si>
    <t>CBC512</t>
  </si>
  <si>
    <t>Aruba</t>
  </si>
  <si>
    <t>AW</t>
  </si>
  <si>
    <t>Aymara</t>
  </si>
  <si>
    <t>AY</t>
  </si>
  <si>
    <t>Taka</t>
  </si>
  <si>
    <t>BDT</t>
  </si>
  <si>
    <t xml:space="preserve">Residential or Business </t>
  </si>
  <si>
    <t>OECD301</t>
  </si>
  <si>
    <t>CBC513</t>
  </si>
  <si>
    <t>Azerbaijani</t>
  </si>
  <si>
    <t>AZ</t>
  </si>
  <si>
    <t>Bulgarian Lev</t>
  </si>
  <si>
    <t>BGN</t>
  </si>
  <si>
    <t xml:space="preserve">Unspecified </t>
  </si>
  <si>
    <t>OECD305</t>
  </si>
  <si>
    <t>Bambara</t>
  </si>
  <si>
    <t>Bahraini Dinar</t>
  </si>
  <si>
    <t>BHD</t>
  </si>
  <si>
    <t>Azerbaijan</t>
  </si>
  <si>
    <t>Bashkir</t>
  </si>
  <si>
    <t>BA</t>
  </si>
  <si>
    <t>Burundi Franc</t>
  </si>
  <si>
    <t>BIF</t>
  </si>
  <si>
    <t>SummaryRef</t>
  </si>
  <si>
    <t>Bosnia and Herzegovina</t>
  </si>
  <si>
    <t>Bahamas</t>
  </si>
  <si>
    <t>BS</t>
  </si>
  <si>
    <t>Basque</t>
  </si>
  <si>
    <t>EU</t>
  </si>
  <si>
    <t>Bermudian Dollar</t>
  </si>
  <si>
    <t>BMD</t>
  </si>
  <si>
    <t>Revenues - Unrelated</t>
  </si>
  <si>
    <t>CBC601</t>
  </si>
  <si>
    <t>BB</t>
  </si>
  <si>
    <t>Barbados</t>
  </si>
  <si>
    <t>Bahrain</t>
  </si>
  <si>
    <t>BH</t>
  </si>
  <si>
    <t>Belarusian</t>
  </si>
  <si>
    <t>Brunei Dollar</t>
  </si>
  <si>
    <t>BND</t>
  </si>
  <si>
    <t>Revenues - Related</t>
  </si>
  <si>
    <t>CBC602</t>
  </si>
  <si>
    <t>BD</t>
  </si>
  <si>
    <t>Bangladesh</t>
  </si>
  <si>
    <t>Bengali, Bangla</t>
  </si>
  <si>
    <t>BN</t>
  </si>
  <si>
    <t>Boliviano</t>
  </si>
  <si>
    <t>BOB</t>
  </si>
  <si>
    <t>Revenues - Total</t>
  </si>
  <si>
    <t>CBC603</t>
  </si>
  <si>
    <t>Bihari</t>
  </si>
  <si>
    <t>Mvdol</t>
  </si>
  <si>
    <t>BOV</t>
  </si>
  <si>
    <t>Profit or Loss</t>
  </si>
  <si>
    <t>CBC604</t>
  </si>
  <si>
    <t>BF</t>
  </si>
  <si>
    <t>Burkina Faso</t>
  </si>
  <si>
    <t>Belarus</t>
  </si>
  <si>
    <t>BY</t>
  </si>
  <si>
    <t>Bislama</t>
  </si>
  <si>
    <t>BI</t>
  </si>
  <si>
    <t>Brazilian Real</t>
  </si>
  <si>
    <t>BRL</t>
  </si>
  <si>
    <t>Tax Paid</t>
  </si>
  <si>
    <t>CBC605</t>
  </si>
  <si>
    <t>BG</t>
  </si>
  <si>
    <t>Bulgaria</t>
  </si>
  <si>
    <t>Bosnian</t>
  </si>
  <si>
    <t>Bahamian Dollar</t>
  </si>
  <si>
    <t>BSD</t>
  </si>
  <si>
    <t>Tax Accrued</t>
  </si>
  <si>
    <t>CBC606</t>
  </si>
  <si>
    <t>Belize</t>
  </si>
  <si>
    <t>BZ</t>
  </si>
  <si>
    <t>Breton</t>
  </si>
  <si>
    <t>Ngultrum</t>
  </si>
  <si>
    <t>BTN</t>
  </si>
  <si>
    <t>Capital</t>
  </si>
  <si>
    <t>CBC607</t>
  </si>
  <si>
    <t>Burundi</t>
  </si>
  <si>
    <t>Benin</t>
  </si>
  <si>
    <t>BJ</t>
  </si>
  <si>
    <t>Bulgarian</t>
  </si>
  <si>
    <t>Pula</t>
  </si>
  <si>
    <t>BWP</t>
  </si>
  <si>
    <t>Earnings</t>
  </si>
  <si>
    <t>CBC608</t>
  </si>
  <si>
    <t>Burmese</t>
  </si>
  <si>
    <t>MY</t>
  </si>
  <si>
    <t>Belarussian Ruble</t>
  </si>
  <si>
    <t>BYR</t>
  </si>
  <si>
    <t>Number of Employees</t>
  </si>
  <si>
    <t>CBC609</t>
  </si>
  <si>
    <t>BL</t>
  </si>
  <si>
    <t>Saint Barthélemy</t>
  </si>
  <si>
    <t>Bhutan</t>
  </si>
  <si>
    <t>BT</t>
  </si>
  <si>
    <t>Catalan</t>
  </si>
  <si>
    <t>Belize Dollar</t>
  </si>
  <si>
    <t>BZD</t>
  </si>
  <si>
    <t>Assets</t>
  </si>
  <si>
    <t>CBC610</t>
  </si>
  <si>
    <t>Bolivia (Plurinational State of)</t>
  </si>
  <si>
    <t>BO</t>
  </si>
  <si>
    <t>Chamorro</t>
  </si>
  <si>
    <t>Canadian Dollar</t>
  </si>
  <si>
    <t>CAD</t>
  </si>
  <si>
    <t>Brunei Darussalam</t>
  </si>
  <si>
    <t>Bonaire, Sint Eustatius and Saba</t>
  </si>
  <si>
    <t>BQ</t>
  </si>
  <si>
    <t>Chechen</t>
  </si>
  <si>
    <t>CE</t>
  </si>
  <si>
    <t>Congolese Franc</t>
  </si>
  <si>
    <t>CDF</t>
  </si>
  <si>
    <t>Chichewa, Chewa, Nyanja</t>
  </si>
  <si>
    <t>NY</t>
  </si>
  <si>
    <t>WIR Euro</t>
  </si>
  <si>
    <t>CHE</t>
  </si>
  <si>
    <t>Chinese</t>
  </si>
  <si>
    <t>ZH</t>
  </si>
  <si>
    <t>Swiss Franc</t>
  </si>
  <si>
    <t>CHF</t>
  </si>
  <si>
    <t>Bouvet Island</t>
  </si>
  <si>
    <t>BV</t>
  </si>
  <si>
    <t>Chuvash</t>
  </si>
  <si>
    <t>CV</t>
  </si>
  <si>
    <t>WIR Franc</t>
  </si>
  <si>
    <t>CHW</t>
  </si>
  <si>
    <t>Cornish</t>
  </si>
  <si>
    <t>KW</t>
  </si>
  <si>
    <t>Unidades de fomento</t>
  </si>
  <si>
    <t>CLF</t>
  </si>
  <si>
    <t>British Indian Ocean Territory</t>
  </si>
  <si>
    <t>IO</t>
  </si>
  <si>
    <t>Corsican</t>
  </si>
  <si>
    <t>Chilean Peso</t>
  </si>
  <si>
    <t>CLP</t>
  </si>
  <si>
    <t>Cree</t>
  </si>
  <si>
    <t>CR</t>
  </si>
  <si>
    <t>Yuan Renminbi</t>
  </si>
  <si>
    <t>CNY</t>
  </si>
  <si>
    <t>Croatian</t>
  </si>
  <si>
    <t>HR</t>
  </si>
  <si>
    <t>Colombian Peso</t>
  </si>
  <si>
    <t>COP</t>
  </si>
  <si>
    <t>Czech</t>
  </si>
  <si>
    <t>CS</t>
  </si>
  <si>
    <t>Unidad de Valor Real</t>
  </si>
  <si>
    <t>COU</t>
  </si>
  <si>
    <t>Danish</t>
  </si>
  <si>
    <t>DA</t>
  </si>
  <si>
    <t>Costa Rican Colon</t>
  </si>
  <si>
    <t>CRC</t>
  </si>
  <si>
    <t>Cabo Verde</t>
  </si>
  <si>
    <t>Divehi, Dhivehi, Maldivian</t>
  </si>
  <si>
    <t>DV</t>
  </si>
  <si>
    <t>Peso Convertible</t>
  </si>
  <si>
    <t>CUC</t>
  </si>
  <si>
    <t>CC</t>
  </si>
  <si>
    <t>Cocos (Keeling) Islands</t>
  </si>
  <si>
    <t>Cambodia</t>
  </si>
  <si>
    <t>KH</t>
  </si>
  <si>
    <t>Dutch</t>
  </si>
  <si>
    <t>Cuban Peso</t>
  </si>
  <si>
    <t>CUP</t>
  </si>
  <si>
    <t>Cameroon</t>
  </si>
  <si>
    <t>CM</t>
  </si>
  <si>
    <t>Dzongkha</t>
  </si>
  <si>
    <t>Cape Verde Escudo</t>
  </si>
  <si>
    <t>CVE</t>
  </si>
  <si>
    <t>CF</t>
  </si>
  <si>
    <t>Central African Republic</t>
  </si>
  <si>
    <t>English</t>
  </si>
  <si>
    <t>EN</t>
  </si>
  <si>
    <t>Czech Koruna</t>
  </si>
  <si>
    <t>CZK</t>
  </si>
  <si>
    <t>CG</t>
  </si>
  <si>
    <t>Congo</t>
  </si>
  <si>
    <t>Cayman Islands</t>
  </si>
  <si>
    <t>Esperanto</t>
  </si>
  <si>
    <t>EO</t>
  </si>
  <si>
    <t>Djibouti Franc</t>
  </si>
  <si>
    <t>DJF</t>
  </si>
  <si>
    <t>Kasuto Hylian</t>
  </si>
  <si>
    <t>HL</t>
  </si>
  <si>
    <t>Danish Krone</t>
  </si>
  <si>
    <t>DKK</t>
  </si>
  <si>
    <t>CI</t>
  </si>
  <si>
    <t>Côte d'Ivoire</t>
  </si>
  <si>
    <t>Chad</t>
  </si>
  <si>
    <t>TD</t>
  </si>
  <si>
    <t>Sarinilli Hylian</t>
  </si>
  <si>
    <t>Dominican Peso</t>
  </si>
  <si>
    <t>DOP</t>
  </si>
  <si>
    <t>CK</t>
  </si>
  <si>
    <t>Cook Islands</t>
  </si>
  <si>
    <t>Estonian</t>
  </si>
  <si>
    <t>ET</t>
  </si>
  <si>
    <t>Algerian Dinar</t>
  </si>
  <si>
    <t>DZD</t>
  </si>
  <si>
    <t>Ewe</t>
  </si>
  <si>
    <t>EE</t>
  </si>
  <si>
    <t>Egyptian Pound</t>
  </si>
  <si>
    <t>EGP</t>
  </si>
  <si>
    <t>Christmas Island</t>
  </si>
  <si>
    <t>CX</t>
  </si>
  <si>
    <t>Faroese</t>
  </si>
  <si>
    <t>FO</t>
  </si>
  <si>
    <t>Nakfa</t>
  </si>
  <si>
    <t>ERN</t>
  </si>
  <si>
    <t>Fijian</t>
  </si>
  <si>
    <t>FJ</t>
  </si>
  <si>
    <t>Ethiopian Birr</t>
  </si>
  <si>
    <t>ETB</t>
  </si>
  <si>
    <t>Finnish</t>
  </si>
  <si>
    <t>Euro</t>
  </si>
  <si>
    <t>EUR</t>
  </si>
  <si>
    <t>Costa Rica</t>
  </si>
  <si>
    <t>Comoros</t>
  </si>
  <si>
    <t>KM</t>
  </si>
  <si>
    <t>French</t>
  </si>
  <si>
    <t>Fiji Dollar</t>
  </si>
  <si>
    <t>FJD</t>
  </si>
  <si>
    <t>CU</t>
  </si>
  <si>
    <t>Cuba</t>
  </si>
  <si>
    <t>Fula, Fulah, Pulaar, Pular</t>
  </si>
  <si>
    <t>FF</t>
  </si>
  <si>
    <t>Falkland Islands Pound</t>
  </si>
  <si>
    <t>FKP</t>
  </si>
  <si>
    <t>Galician</t>
  </si>
  <si>
    <t>GL</t>
  </si>
  <si>
    <t>Pound Sterling</t>
  </si>
  <si>
    <t>GBP</t>
  </si>
  <si>
    <t>CW</t>
  </si>
  <si>
    <t>Curaçao</t>
  </si>
  <si>
    <t>Georgian</t>
  </si>
  <si>
    <t>KA</t>
  </si>
  <si>
    <t>Lari</t>
  </si>
  <si>
    <t>GEL</t>
  </si>
  <si>
    <t>German</t>
  </si>
  <si>
    <t>Ghana Cedi</t>
  </si>
  <si>
    <t>GHS</t>
  </si>
  <si>
    <t>Cyprus</t>
  </si>
  <si>
    <t>Greek (modern)</t>
  </si>
  <si>
    <t>EL</t>
  </si>
  <si>
    <t>Gibraltar Pound</t>
  </si>
  <si>
    <t>GIP</t>
  </si>
  <si>
    <t>CZ</t>
  </si>
  <si>
    <t>Czech Republic</t>
  </si>
  <si>
    <t>Croatia</t>
  </si>
  <si>
    <t>Guaraní</t>
  </si>
  <si>
    <t>GN</t>
  </si>
  <si>
    <t>Dalasi</t>
  </si>
  <si>
    <t>GMD</t>
  </si>
  <si>
    <t>Gujarati</t>
  </si>
  <si>
    <t>GU</t>
  </si>
  <si>
    <t>Guinea Franc</t>
  </si>
  <si>
    <t>GNF</t>
  </si>
  <si>
    <t>DJ</t>
  </si>
  <si>
    <t>Djibouti</t>
  </si>
  <si>
    <t>Haitian, Haitian Creole</t>
  </si>
  <si>
    <t>HT</t>
  </si>
  <si>
    <t>Quetzal</t>
  </si>
  <si>
    <t>GTQ</t>
  </si>
  <si>
    <t>DK</t>
  </si>
  <si>
    <t>Denmark</t>
  </si>
  <si>
    <t>Hausa</t>
  </si>
  <si>
    <t>HA</t>
  </si>
  <si>
    <t>Guyana Dollar</t>
  </si>
  <si>
    <t>GYD</t>
  </si>
  <si>
    <t>DM</t>
  </si>
  <si>
    <t>Dominica</t>
  </si>
  <si>
    <t>Hebrew (modern)</t>
  </si>
  <si>
    <t>HE</t>
  </si>
  <si>
    <t>Hong Kong Dollar</t>
  </si>
  <si>
    <t>HKD</t>
  </si>
  <si>
    <t>DO</t>
  </si>
  <si>
    <t>Dominican Republic</t>
  </si>
  <si>
    <t>Herero</t>
  </si>
  <si>
    <t>HZ</t>
  </si>
  <si>
    <t>Lempira</t>
  </si>
  <si>
    <t>HNL</t>
  </si>
  <si>
    <t>Hindi</t>
  </si>
  <si>
    <t>HI</t>
  </si>
  <si>
    <t>Croatian Kuna</t>
  </si>
  <si>
    <t>HRK</t>
  </si>
  <si>
    <t>Hiri Motu</t>
  </si>
  <si>
    <t>HO</t>
  </si>
  <si>
    <t>Gourde</t>
  </si>
  <si>
    <t>HTG</t>
  </si>
  <si>
    <t>Estonia</t>
  </si>
  <si>
    <t>Hungarian</t>
  </si>
  <si>
    <t>HU</t>
  </si>
  <si>
    <t>Forint</t>
  </si>
  <si>
    <t>HUF</t>
  </si>
  <si>
    <t>EG</t>
  </si>
  <si>
    <t>Egypt</t>
  </si>
  <si>
    <t>Interlingua</t>
  </si>
  <si>
    <t>IA</t>
  </si>
  <si>
    <t>Rupiah</t>
  </si>
  <si>
    <t>IDR</t>
  </si>
  <si>
    <t>EH</t>
  </si>
  <si>
    <t>Western Sahara</t>
  </si>
  <si>
    <t>Indonesian</t>
  </si>
  <si>
    <t>New Israeli Sheqel</t>
  </si>
  <si>
    <t>ILS</t>
  </si>
  <si>
    <t>ER</t>
  </si>
  <si>
    <t>Eritrea</t>
  </si>
  <si>
    <t>El Salvador</t>
  </si>
  <si>
    <t>SV</t>
  </si>
  <si>
    <t>Interlingue</t>
  </si>
  <si>
    <t>Indian Rupee</t>
  </si>
  <si>
    <t>INR</t>
  </si>
  <si>
    <t>ES</t>
  </si>
  <si>
    <t>Spain</t>
  </si>
  <si>
    <t>Equatorial Guinea</t>
  </si>
  <si>
    <t>GQ</t>
  </si>
  <si>
    <t>Irish</t>
  </si>
  <si>
    <t>GA</t>
  </si>
  <si>
    <t>Iraqi Dinar</t>
  </si>
  <si>
    <t>IQD</t>
  </si>
  <si>
    <t>Ethiopia</t>
  </si>
  <si>
    <t>Igbo</t>
  </si>
  <si>
    <t>IG</t>
  </si>
  <si>
    <t>Iranian Rial</t>
  </si>
  <si>
    <t>IRR</t>
  </si>
  <si>
    <t>Inupiaq</t>
  </si>
  <si>
    <t>IK</t>
  </si>
  <si>
    <t>Iceland Krona</t>
  </si>
  <si>
    <t>ISK</t>
  </si>
  <si>
    <t>Fiji</t>
  </si>
  <si>
    <t>Ido</t>
  </si>
  <si>
    <t>Jamaican Dollar</t>
  </si>
  <si>
    <t>JMD</t>
  </si>
  <si>
    <t>FK</t>
  </si>
  <si>
    <t>Falkland Islands (Malvinas)</t>
  </si>
  <si>
    <t>Icelandic</t>
  </si>
  <si>
    <t>IS</t>
  </si>
  <si>
    <t>Jordanian Dinar</t>
  </si>
  <si>
    <t>JOD</t>
  </si>
  <si>
    <t>FM</t>
  </si>
  <si>
    <t>Micronesia (Federated States of)</t>
  </si>
  <si>
    <t>Faroe Islands</t>
  </si>
  <si>
    <t>Italian</t>
  </si>
  <si>
    <t>Yen</t>
  </si>
  <si>
    <t>JPY</t>
  </si>
  <si>
    <t>Inuktitut</t>
  </si>
  <si>
    <t>IU</t>
  </si>
  <si>
    <t>Kenyan Shilling</t>
  </si>
  <si>
    <t>KES</t>
  </si>
  <si>
    <t>Japanese</t>
  </si>
  <si>
    <t>JA</t>
  </si>
  <si>
    <t>Som</t>
  </si>
  <si>
    <t>KGS</t>
  </si>
  <si>
    <t>Gabon</t>
  </si>
  <si>
    <t>Javanese</t>
  </si>
  <si>
    <t>JV</t>
  </si>
  <si>
    <t>Riel</t>
  </si>
  <si>
    <t>KHR</t>
  </si>
  <si>
    <t>French Guiana</t>
  </si>
  <si>
    <t>GF</t>
  </si>
  <si>
    <t>Kalaallisut, Greenlandic</t>
  </si>
  <si>
    <t>KL</t>
  </si>
  <si>
    <t>Comoro Franc</t>
  </si>
  <si>
    <t>KMF</t>
  </si>
  <si>
    <t>GD</t>
  </si>
  <si>
    <t>Grenada</t>
  </si>
  <si>
    <t>French Polynesia</t>
  </si>
  <si>
    <t>PF</t>
  </si>
  <si>
    <t>Kannada</t>
  </si>
  <si>
    <t>KN</t>
  </si>
  <si>
    <t>North Korean Won</t>
  </si>
  <si>
    <t>KPW</t>
  </si>
  <si>
    <t>GE</t>
  </si>
  <si>
    <t>Georgia</t>
  </si>
  <si>
    <t>French Southern Territories</t>
  </si>
  <si>
    <t>TF</t>
  </si>
  <si>
    <t>Kanuri</t>
  </si>
  <si>
    <t>KR</t>
  </si>
  <si>
    <t>Won</t>
  </si>
  <si>
    <t>KRW</t>
  </si>
  <si>
    <t>Kashmiri</t>
  </si>
  <si>
    <t>KS</t>
  </si>
  <si>
    <t>Kuwaiti Dinar</t>
  </si>
  <si>
    <t>KWD</t>
  </si>
  <si>
    <t>Gambia</t>
  </si>
  <si>
    <t>GM</t>
  </si>
  <si>
    <t>Kazakh</t>
  </si>
  <si>
    <t>KK</t>
  </si>
  <si>
    <t>Cayman Islands Dollar</t>
  </si>
  <si>
    <t>KYD</t>
  </si>
  <si>
    <t>GH</t>
  </si>
  <si>
    <t>Ghana</t>
  </si>
  <si>
    <t>Khmer</t>
  </si>
  <si>
    <t>Tenge</t>
  </si>
  <si>
    <t>KZT</t>
  </si>
  <si>
    <t>GI</t>
  </si>
  <si>
    <t>Gibraltar</t>
  </si>
  <si>
    <t>Kikuyu, Gikuyu</t>
  </si>
  <si>
    <t>KI</t>
  </si>
  <si>
    <t>Kip</t>
  </si>
  <si>
    <t>LAK</t>
  </si>
  <si>
    <t>Greenland</t>
  </si>
  <si>
    <t>Kinyarwanda</t>
  </si>
  <si>
    <t>RW</t>
  </si>
  <si>
    <t>Lebanese Pound</t>
  </si>
  <si>
    <t>LBP</t>
  </si>
  <si>
    <t>Kyrgyz</t>
  </si>
  <si>
    <t>Sri Lanka Rupee</t>
  </si>
  <si>
    <t>LKR</t>
  </si>
  <si>
    <t>Guinea</t>
  </si>
  <si>
    <t>Greece</t>
  </si>
  <si>
    <t>GR</t>
  </si>
  <si>
    <t>Komi</t>
  </si>
  <si>
    <t>KV</t>
  </si>
  <si>
    <t>Liberian Dollar</t>
  </si>
  <si>
    <t>LRD</t>
  </si>
  <si>
    <t>GP</t>
  </si>
  <si>
    <t>Guadeloupe</t>
  </si>
  <si>
    <t>Kongo</t>
  </si>
  <si>
    <t>KG</t>
  </si>
  <si>
    <t>Loti</t>
  </si>
  <si>
    <t>LSL</t>
  </si>
  <si>
    <t>Korean</t>
  </si>
  <si>
    <t>KO</t>
  </si>
  <si>
    <t>Lithuanian Litas</t>
  </si>
  <si>
    <t>LTL</t>
  </si>
  <si>
    <t>Kurdish</t>
  </si>
  <si>
    <t>KU</t>
  </si>
  <si>
    <t>Latvian Lats</t>
  </si>
  <si>
    <t>LVL</t>
  </si>
  <si>
    <t>GS</t>
  </si>
  <si>
    <t>South Georgia and the South Sandwich Islands</t>
  </si>
  <si>
    <t>Guam</t>
  </si>
  <si>
    <t>Kwanyama, Kuanyama</t>
  </si>
  <si>
    <t>KJ</t>
  </si>
  <si>
    <t>Libyan Dinar</t>
  </si>
  <si>
    <t>LYD</t>
  </si>
  <si>
    <t>GT</t>
  </si>
  <si>
    <t>Guatemala</t>
  </si>
  <si>
    <t>Latin</t>
  </si>
  <si>
    <t>LA</t>
  </si>
  <si>
    <t>Moroccan Dirham</t>
  </si>
  <si>
    <t>MAD</t>
  </si>
  <si>
    <t>Luxembourgish, Letzeburgesch</t>
  </si>
  <si>
    <t>LB</t>
  </si>
  <si>
    <t>Moldovan Leu</t>
  </si>
  <si>
    <t>MDL</t>
  </si>
  <si>
    <t>GW</t>
  </si>
  <si>
    <t>Guinea-Bissau</t>
  </si>
  <si>
    <t>Ganda</t>
  </si>
  <si>
    <t>LG</t>
  </si>
  <si>
    <t>Malagasy Ariary</t>
  </si>
  <si>
    <t>MGA</t>
  </si>
  <si>
    <t>GY</t>
  </si>
  <si>
    <t>Guyana</t>
  </si>
  <si>
    <t>Limburgish, Limburgan, Limburger</t>
  </si>
  <si>
    <t>LI</t>
  </si>
  <si>
    <t>Denar</t>
  </si>
  <si>
    <t>MKD</t>
  </si>
  <si>
    <t>Lingala</t>
  </si>
  <si>
    <t>LN</t>
  </si>
  <si>
    <t>Kyat</t>
  </si>
  <si>
    <t>MMK</t>
  </si>
  <si>
    <t>HM</t>
  </si>
  <si>
    <t>Heard Island and McDonald Islands</t>
  </si>
  <si>
    <t>Haiti</t>
  </si>
  <si>
    <t>Lao</t>
  </si>
  <si>
    <t>LO</t>
  </si>
  <si>
    <t>Tugrik</t>
  </si>
  <si>
    <t>MNT</t>
  </si>
  <si>
    <t>HN</t>
  </si>
  <si>
    <t>Honduras</t>
  </si>
  <si>
    <t>Lithuanian</t>
  </si>
  <si>
    <t>LT</t>
  </si>
  <si>
    <t>Pataca</t>
  </si>
  <si>
    <t>MOP</t>
  </si>
  <si>
    <t>Holy See</t>
  </si>
  <si>
    <t>VA</t>
  </si>
  <si>
    <t>Luba-Katanga</t>
  </si>
  <si>
    <t>Ouguiya</t>
  </si>
  <si>
    <t>MRO</t>
  </si>
  <si>
    <t>Latvian</t>
  </si>
  <si>
    <t>LV</t>
  </si>
  <si>
    <t>Mauritius Rupee</t>
  </si>
  <si>
    <t>MUR</t>
  </si>
  <si>
    <t>Hungary</t>
  </si>
  <si>
    <t>Manx</t>
  </si>
  <si>
    <t>GV</t>
  </si>
  <si>
    <t>Rufiyaa</t>
  </si>
  <si>
    <t>MVR</t>
  </si>
  <si>
    <t>Macedonian</t>
  </si>
  <si>
    <t>MK</t>
  </si>
  <si>
    <t>Kwacha</t>
  </si>
  <si>
    <t>MWK</t>
  </si>
  <si>
    <t>Iceland</t>
  </si>
  <si>
    <t>Malagasy</t>
  </si>
  <si>
    <t>MG</t>
  </si>
  <si>
    <t>Mexican Peso</t>
  </si>
  <si>
    <t>MXN</t>
  </si>
  <si>
    <t>Malay</t>
  </si>
  <si>
    <t>MS</t>
  </si>
  <si>
    <t>Mexican Unidad de Inversion (UDI)</t>
  </si>
  <si>
    <t>MXV</t>
  </si>
  <si>
    <t>Malayalam</t>
  </si>
  <si>
    <t>ML</t>
  </si>
  <si>
    <t>Malaysian Ringgit</t>
  </si>
  <si>
    <t>MYR</t>
  </si>
  <si>
    <t>Iran (Islamic Republic of)</t>
  </si>
  <si>
    <t>IR</t>
  </si>
  <si>
    <t>Maltese</t>
  </si>
  <si>
    <t>Mozambique Metical</t>
  </si>
  <si>
    <t>MZN</t>
  </si>
  <si>
    <t>Iraq</t>
  </si>
  <si>
    <t>IQ</t>
  </si>
  <si>
    <t>Māori</t>
  </si>
  <si>
    <t>MI</t>
  </si>
  <si>
    <t>Namibia Dollar</t>
  </si>
  <si>
    <t>NAD</t>
  </si>
  <si>
    <t>Marathi (Marāṭhī)</t>
  </si>
  <si>
    <t>MR</t>
  </si>
  <si>
    <t>Naira</t>
  </si>
  <si>
    <t>NGN</t>
  </si>
  <si>
    <t>Marshallese</t>
  </si>
  <si>
    <t>MH</t>
  </si>
  <si>
    <t>Cordoba Oro</t>
  </si>
  <si>
    <t>NIO</t>
  </si>
  <si>
    <t>Mongolian</t>
  </si>
  <si>
    <t>MN</t>
  </si>
  <si>
    <t>Norwegian Krone</t>
  </si>
  <si>
    <t>NOK</t>
  </si>
  <si>
    <t>Nauruan</t>
  </si>
  <si>
    <t>Nepalese Rupee</t>
  </si>
  <si>
    <t>NPR</t>
  </si>
  <si>
    <t>Jersey</t>
  </si>
  <si>
    <t>Jamaica</t>
  </si>
  <si>
    <t>JM</t>
  </si>
  <si>
    <t>Navajo, Navaho</t>
  </si>
  <si>
    <t>NV</t>
  </si>
  <si>
    <t>New Zealand Dollar</t>
  </si>
  <si>
    <t>NZD</t>
  </si>
  <si>
    <t>Northern Ndebele</t>
  </si>
  <si>
    <t>ND</t>
  </si>
  <si>
    <t>Rial Omani</t>
  </si>
  <si>
    <t>OMR</t>
  </si>
  <si>
    <t>JO</t>
  </si>
  <si>
    <t>Jordan</t>
  </si>
  <si>
    <t>Nepali</t>
  </si>
  <si>
    <t>NE</t>
  </si>
  <si>
    <t>Balboa</t>
  </si>
  <si>
    <t>PAB</t>
  </si>
  <si>
    <t>Ndonga</t>
  </si>
  <si>
    <t>NG</t>
  </si>
  <si>
    <t>Nuevo Sol</t>
  </si>
  <si>
    <t>PEN</t>
  </si>
  <si>
    <t>KE</t>
  </si>
  <si>
    <t>Kenya</t>
  </si>
  <si>
    <t>Kazakhstan</t>
  </si>
  <si>
    <t>KZ</t>
  </si>
  <si>
    <t>Norwegian Bokmål</t>
  </si>
  <si>
    <t>NB</t>
  </si>
  <si>
    <t>Kina</t>
  </si>
  <si>
    <t>PGK</t>
  </si>
  <si>
    <t>Kyrgyzstan</t>
  </si>
  <si>
    <t>Norwegian Nynorsk</t>
  </si>
  <si>
    <t>NN</t>
  </si>
  <si>
    <t>Philippine Peso</t>
  </si>
  <si>
    <t>PHP</t>
  </si>
  <si>
    <t>Kiribati</t>
  </si>
  <si>
    <t>Norwegian</t>
  </si>
  <si>
    <t>Pakistan Rupee</t>
  </si>
  <si>
    <t>PKR</t>
  </si>
  <si>
    <t>Korea (Democratic People's Republic of)</t>
  </si>
  <si>
    <t>KP</t>
  </si>
  <si>
    <t>Nuosu</t>
  </si>
  <si>
    <t>II</t>
  </si>
  <si>
    <t>Zloty</t>
  </si>
  <si>
    <t>PLN</t>
  </si>
  <si>
    <t>Korea (Republic of)</t>
  </si>
  <si>
    <t>Southern Ndebele</t>
  </si>
  <si>
    <t>NR</t>
  </si>
  <si>
    <t>Guarani</t>
  </si>
  <si>
    <t>PYG</t>
  </si>
  <si>
    <t>Saint Kitts and Nevis</t>
  </si>
  <si>
    <t>Kosovo</t>
  </si>
  <si>
    <t>XK</t>
  </si>
  <si>
    <t>Occitan</t>
  </si>
  <si>
    <t>OC</t>
  </si>
  <si>
    <t>Qatari Rial</t>
  </si>
  <si>
    <t>QAR</t>
  </si>
  <si>
    <t>Kuwait</t>
  </si>
  <si>
    <t>Ojibwe, Ojibwa</t>
  </si>
  <si>
    <t>OJ</t>
  </si>
  <si>
    <t>New Romanian Leu</t>
  </si>
  <si>
    <t>RON</t>
  </si>
  <si>
    <t>Old Church Slavonic, Church Slavonic, Old Bulgarian</t>
  </si>
  <si>
    <t>Serbian Dinar</t>
  </si>
  <si>
    <t>RSD</t>
  </si>
  <si>
    <t>Lao People's Democratic Republic</t>
  </si>
  <si>
    <t>Oromo</t>
  </si>
  <si>
    <t>OM</t>
  </si>
  <si>
    <t>Russian Ruble</t>
  </si>
  <si>
    <t>RUB</t>
  </si>
  <si>
    <t>Latvia</t>
  </si>
  <si>
    <t>Oriya</t>
  </si>
  <si>
    <t>OR</t>
  </si>
  <si>
    <t>Rwanda Franc</t>
  </si>
  <si>
    <t>RWF</t>
  </si>
  <si>
    <t>Lebanon</t>
  </si>
  <si>
    <t>Ossetian, Ossetic</t>
  </si>
  <si>
    <t>OS</t>
  </si>
  <si>
    <t>Saudi Riyal</t>
  </si>
  <si>
    <t>SAR</t>
  </si>
  <si>
    <t>(Eastern) Punjabi</t>
  </si>
  <si>
    <t>PA</t>
  </si>
  <si>
    <t>Solomon Islands Dollar</t>
  </si>
  <si>
    <t>SBD</t>
  </si>
  <si>
    <t>Pāli</t>
  </si>
  <si>
    <t>PI</t>
  </si>
  <si>
    <t>Seychelles Rupee</t>
  </si>
  <si>
    <t>SCR</t>
  </si>
  <si>
    <t>LC</t>
  </si>
  <si>
    <t>Saint Lucia</t>
  </si>
  <si>
    <t>Libya</t>
  </si>
  <si>
    <t>LY</t>
  </si>
  <si>
    <t>Persian (Farsi)</t>
  </si>
  <si>
    <t>FA</t>
  </si>
  <si>
    <t>Sudanese Pound</t>
  </si>
  <si>
    <t>SDG</t>
  </si>
  <si>
    <t>Liechtenstein</t>
  </si>
  <si>
    <t>Polish</t>
  </si>
  <si>
    <t>PL</t>
  </si>
  <si>
    <t>Swedish Krona</t>
  </si>
  <si>
    <t>SEK</t>
  </si>
  <si>
    <t>LK</t>
  </si>
  <si>
    <t>Sri Lanka</t>
  </si>
  <si>
    <t>Lithuania</t>
  </si>
  <si>
    <t>Pashto, Pushto</t>
  </si>
  <si>
    <t>PS</t>
  </si>
  <si>
    <t>Singapore Dollar</t>
  </si>
  <si>
    <t>SGD</t>
  </si>
  <si>
    <t>Portuguese</t>
  </si>
  <si>
    <t>PT</t>
  </si>
  <si>
    <t>Saint Helena Pound</t>
  </si>
  <si>
    <t>SHP</t>
  </si>
  <si>
    <t>Quechua</t>
  </si>
  <si>
    <t>QU</t>
  </si>
  <si>
    <t>Leone</t>
  </si>
  <si>
    <t>SLL</t>
  </si>
  <si>
    <t>Macedonia (the former Yugoslav Republic of)</t>
  </si>
  <si>
    <t>Romansh</t>
  </si>
  <si>
    <t>RM</t>
  </si>
  <si>
    <t>Somali Shilling</t>
  </si>
  <si>
    <t>SOS</t>
  </si>
  <si>
    <t>Madagascar</t>
  </si>
  <si>
    <t>Kirundi</t>
  </si>
  <si>
    <t>RN</t>
  </si>
  <si>
    <t>Surinam Dollar</t>
  </si>
  <si>
    <t>SRD</t>
  </si>
  <si>
    <t>Malawi</t>
  </si>
  <si>
    <t>MW</t>
  </si>
  <si>
    <t>Romanian</t>
  </si>
  <si>
    <t>RO</t>
  </si>
  <si>
    <t>South Sudanese Pound</t>
  </si>
  <si>
    <t>SSP</t>
  </si>
  <si>
    <t>Malaysia</t>
  </si>
  <si>
    <t>Russian</t>
  </si>
  <si>
    <t>RU</t>
  </si>
  <si>
    <t>Dobra</t>
  </si>
  <si>
    <t>STD</t>
  </si>
  <si>
    <t>MA</t>
  </si>
  <si>
    <t>Morocco</t>
  </si>
  <si>
    <t>Maldives</t>
  </si>
  <si>
    <t>MV</t>
  </si>
  <si>
    <t>Sanskrit (Saṁskṛta)</t>
  </si>
  <si>
    <t>SA</t>
  </si>
  <si>
    <t>El Salvador Colon</t>
  </si>
  <si>
    <t>SVC</t>
  </si>
  <si>
    <t>MC</t>
  </si>
  <si>
    <t>Monaco</t>
  </si>
  <si>
    <t>Mali</t>
  </si>
  <si>
    <t>Sardinian</t>
  </si>
  <si>
    <t>SC</t>
  </si>
  <si>
    <t>Syrian Pound</t>
  </si>
  <si>
    <t>SYP</t>
  </si>
  <si>
    <t>MD</t>
  </si>
  <si>
    <t>Moldova (Republic of)</t>
  </si>
  <si>
    <t>Malta</t>
  </si>
  <si>
    <t>Sindhi</t>
  </si>
  <si>
    <t>SD</t>
  </si>
  <si>
    <t>Lilangeni</t>
  </si>
  <si>
    <t>SZL</t>
  </si>
  <si>
    <t>ME</t>
  </si>
  <si>
    <t>Montenegro</t>
  </si>
  <si>
    <t>Marshall Islands</t>
  </si>
  <si>
    <t>Northern Sami</t>
  </si>
  <si>
    <t>Baht</t>
  </si>
  <si>
    <t>THB</t>
  </si>
  <si>
    <t>MF</t>
  </si>
  <si>
    <t>Saint Martin (French part)</t>
  </si>
  <si>
    <t>Martinique</t>
  </si>
  <si>
    <t>MQ</t>
  </si>
  <si>
    <t>Samoan</t>
  </si>
  <si>
    <t>SM</t>
  </si>
  <si>
    <t>Somoni</t>
  </si>
  <si>
    <t>TJS</t>
  </si>
  <si>
    <t>Mauritania</t>
  </si>
  <si>
    <t>Sango</t>
  </si>
  <si>
    <t>Turkmenistan New Manat</t>
  </si>
  <si>
    <t>TMT</t>
  </si>
  <si>
    <t>Mauritius</t>
  </si>
  <si>
    <t>Serbian</t>
  </si>
  <si>
    <t>SR</t>
  </si>
  <si>
    <t>Tunisian Dinar</t>
  </si>
  <si>
    <t>TND</t>
  </si>
  <si>
    <t>Mayotte</t>
  </si>
  <si>
    <t>YT</t>
  </si>
  <si>
    <t>Scottish Gaelic, Gaelic</t>
  </si>
  <si>
    <t>Pa’anga</t>
  </si>
  <si>
    <t>TOP</t>
  </si>
  <si>
    <t>Shona</t>
  </si>
  <si>
    <t>SN</t>
  </si>
  <si>
    <t>Turkish Lira</t>
  </si>
  <si>
    <t>TRY</t>
  </si>
  <si>
    <t>MM</t>
  </si>
  <si>
    <t>Myanmar</t>
  </si>
  <si>
    <t>Sinhalese, Sinhala</t>
  </si>
  <si>
    <t>SI</t>
  </si>
  <si>
    <t>Trinidad and Tobago Dollar</t>
  </si>
  <si>
    <t>TTD</t>
  </si>
  <si>
    <t>Mongolia</t>
  </si>
  <si>
    <t>Slovak</t>
  </si>
  <si>
    <t>SK</t>
  </si>
  <si>
    <t>New Taiwan Dollar</t>
  </si>
  <si>
    <t>TWD</t>
  </si>
  <si>
    <t>Slovene</t>
  </si>
  <si>
    <t>SL</t>
  </si>
  <si>
    <t>Tanzanian Shilling</t>
  </si>
  <si>
    <t>TZS</t>
  </si>
  <si>
    <t>MP</t>
  </si>
  <si>
    <t>Northern Mariana Islands</t>
  </si>
  <si>
    <t>Somali</t>
  </si>
  <si>
    <t>SO</t>
  </si>
  <si>
    <t>Hryvnia</t>
  </si>
  <si>
    <t>UAH</t>
  </si>
  <si>
    <t>Southern Sotho</t>
  </si>
  <si>
    <t>ST</t>
  </si>
  <si>
    <t>Uganda Shilling</t>
  </si>
  <si>
    <t>UGX</t>
  </si>
  <si>
    <t>Montserrat</t>
  </si>
  <si>
    <t>Spanish</t>
  </si>
  <si>
    <t>US Dollar</t>
  </si>
  <si>
    <t>Sundanese</t>
  </si>
  <si>
    <t>SU</t>
  </si>
  <si>
    <t>US Dollar (Next day)</t>
  </si>
  <si>
    <t>USN</t>
  </si>
  <si>
    <t>Swahili</t>
  </si>
  <si>
    <t>SW</t>
  </si>
  <si>
    <t xml:space="preserve"> US Dollar (Same day)</t>
  </si>
  <si>
    <t>USS</t>
  </si>
  <si>
    <t>Swati</t>
  </si>
  <si>
    <t>SS</t>
  </si>
  <si>
    <t>Uruguay Peso en Unidades Indexadas (URUIURUI)</t>
  </si>
  <si>
    <t>UYI</t>
  </si>
  <si>
    <t>Swedish</t>
  </si>
  <si>
    <t>Peso Uruguayo</t>
  </si>
  <si>
    <t>UYU</t>
  </si>
  <si>
    <t>Nauru</t>
  </si>
  <si>
    <t>Tamil</t>
  </si>
  <si>
    <t>TA</t>
  </si>
  <si>
    <t>Uzbekistan Sum</t>
  </si>
  <si>
    <t>UZS</t>
  </si>
  <si>
    <t>Nepal</t>
  </si>
  <si>
    <t>NP</t>
  </si>
  <si>
    <t>Telugu</t>
  </si>
  <si>
    <t>TE</t>
  </si>
  <si>
    <t>Bolivar</t>
  </si>
  <si>
    <t>VEF</t>
  </si>
  <si>
    <t>Tajik</t>
  </si>
  <si>
    <t>TG</t>
  </si>
  <si>
    <t>Dong</t>
  </si>
  <si>
    <t>VND</t>
  </si>
  <si>
    <t>New Caledonia</t>
  </si>
  <si>
    <t>NC</t>
  </si>
  <si>
    <t>Thai</t>
  </si>
  <si>
    <t>TH</t>
  </si>
  <si>
    <t>Vatu</t>
  </si>
  <si>
    <t>VUV</t>
  </si>
  <si>
    <t>New Zealand</t>
  </si>
  <si>
    <t>NZ</t>
  </si>
  <si>
    <t>Tigrinya</t>
  </si>
  <si>
    <t>TI</t>
  </si>
  <si>
    <t>Tala</t>
  </si>
  <si>
    <t>WST</t>
  </si>
  <si>
    <t>Nicaragua</t>
  </si>
  <si>
    <t>NI</t>
  </si>
  <si>
    <t>Tibetan Standard, Tibetan, Central</t>
  </si>
  <si>
    <t>CFA Franc BEAC</t>
  </si>
  <si>
    <t>XAF</t>
  </si>
  <si>
    <t>Niger</t>
  </si>
  <si>
    <t>Turkmen</t>
  </si>
  <si>
    <t>TK</t>
  </si>
  <si>
    <t>Silver</t>
  </si>
  <si>
    <t>XAG</t>
  </si>
  <si>
    <t>NF</t>
  </si>
  <si>
    <t>Norfolk Island</t>
  </si>
  <si>
    <t>Nigeria</t>
  </si>
  <si>
    <t>Tagalog</t>
  </si>
  <si>
    <t>TL</t>
  </si>
  <si>
    <t>Gold</t>
  </si>
  <si>
    <t>XAU</t>
  </si>
  <si>
    <t>Niue</t>
  </si>
  <si>
    <t>NU</t>
  </si>
  <si>
    <t>Tswana</t>
  </si>
  <si>
    <t>TN</t>
  </si>
  <si>
    <t>Bond Markets Unit European Composite Unit (EURCO)</t>
  </si>
  <si>
    <t>XBA</t>
  </si>
  <si>
    <t>Tonga (Tonga Islands)</t>
  </si>
  <si>
    <t>TO</t>
  </si>
  <si>
    <t>Bond Markets Unit European Monetary Unit (E.M.U.-6)</t>
  </si>
  <si>
    <t>XBB</t>
  </si>
  <si>
    <t>Turkish</t>
  </si>
  <si>
    <t>TR</t>
  </si>
  <si>
    <t>Bond Markets Unit European Unit of Account 9 (E.U.A.-9)</t>
  </si>
  <si>
    <t>XBC</t>
  </si>
  <si>
    <t>Tsonga</t>
  </si>
  <si>
    <t>TS</t>
  </si>
  <si>
    <t>Bond Markets Unit European Unit of Account 17 (E.U.A.-17)</t>
  </si>
  <si>
    <t>XBD</t>
  </si>
  <si>
    <t>Oman</t>
  </si>
  <si>
    <t>Tatar</t>
  </si>
  <si>
    <t>TT</t>
  </si>
  <si>
    <t>East Caribbean Dollar</t>
  </si>
  <si>
    <t>XCD</t>
  </si>
  <si>
    <t>Pakistan</t>
  </si>
  <si>
    <t>PK</t>
  </si>
  <si>
    <t>Twi</t>
  </si>
  <si>
    <t>SDR (Special Drawing Right)</t>
  </si>
  <si>
    <t>XDR</t>
  </si>
  <si>
    <t>Palau</t>
  </si>
  <si>
    <t>PW</t>
  </si>
  <si>
    <t>Tahitian</t>
  </si>
  <si>
    <t>TY</t>
  </si>
  <si>
    <t>UIC-Franc</t>
  </si>
  <si>
    <t>XFU</t>
  </si>
  <si>
    <t>Palestine, State of</t>
  </si>
  <si>
    <t>Uyghur</t>
  </si>
  <si>
    <t>UG</t>
  </si>
  <si>
    <t>CFA Franc BCEAO</t>
  </si>
  <si>
    <t>XOF</t>
  </si>
  <si>
    <t>Panama</t>
  </si>
  <si>
    <t>Ukrainian</t>
  </si>
  <si>
    <t>UK</t>
  </si>
  <si>
    <t>Palladium</t>
  </si>
  <si>
    <t>XPD</t>
  </si>
  <si>
    <t>Urdu</t>
  </si>
  <si>
    <t>UR</t>
  </si>
  <si>
    <t>CFP Franc</t>
  </si>
  <si>
    <t>XPF</t>
  </si>
  <si>
    <t>Paraguay</t>
  </si>
  <si>
    <t>PY</t>
  </si>
  <si>
    <t>Uzbek</t>
  </si>
  <si>
    <t>UZ</t>
  </si>
  <si>
    <t>Platinum</t>
  </si>
  <si>
    <t>XPT</t>
  </si>
  <si>
    <t>Venda</t>
  </si>
  <si>
    <t>Sucre</t>
  </si>
  <si>
    <t>XSU</t>
  </si>
  <si>
    <t>Vietnamese</t>
  </si>
  <si>
    <t>VI</t>
  </si>
  <si>
    <t>ADB Unit of Account</t>
  </si>
  <si>
    <t>XUA</t>
  </si>
  <si>
    <t>Pitcairn</t>
  </si>
  <si>
    <t>PN</t>
  </si>
  <si>
    <t>Volapük</t>
  </si>
  <si>
    <t>VO</t>
  </si>
  <si>
    <t>The codes assigned for transactions where no currency is involved</t>
  </si>
  <si>
    <t>XXX</t>
  </si>
  <si>
    <t>Poland</t>
  </si>
  <si>
    <t>Walloon</t>
  </si>
  <si>
    <t>Yemeni Rial</t>
  </si>
  <si>
    <t>YER</t>
  </si>
  <si>
    <t>Portugal</t>
  </si>
  <si>
    <t>Welsh</t>
  </si>
  <si>
    <t>Rand</t>
  </si>
  <si>
    <t>ZAR</t>
  </si>
  <si>
    <t>PM</t>
  </si>
  <si>
    <t>Saint Pierre and Miquelon</t>
  </si>
  <si>
    <t>Puerto Rico</t>
  </si>
  <si>
    <t>PR</t>
  </si>
  <si>
    <t>Wolof</t>
  </si>
  <si>
    <t>WO</t>
  </si>
  <si>
    <t>Zambian Kwacha</t>
  </si>
  <si>
    <t>ZMW</t>
  </si>
  <si>
    <t>Qatar</t>
  </si>
  <si>
    <t>QA</t>
  </si>
  <si>
    <t>Western Frisian</t>
  </si>
  <si>
    <t>FY</t>
  </si>
  <si>
    <t>Zimbabwe Dollar</t>
  </si>
  <si>
    <t>ZWL</t>
  </si>
  <si>
    <t>Réunion</t>
  </si>
  <si>
    <t>RE</t>
  </si>
  <si>
    <t>Xhosa</t>
  </si>
  <si>
    <t>XH</t>
  </si>
  <si>
    <t>Romania</t>
  </si>
  <si>
    <t>Yiddish</t>
  </si>
  <si>
    <t>YI</t>
  </si>
  <si>
    <t>Russian Federation</t>
  </si>
  <si>
    <t>Yoruba</t>
  </si>
  <si>
    <t>YO</t>
  </si>
  <si>
    <t>Rwanda</t>
  </si>
  <si>
    <t>Zhuang, Chuang</t>
  </si>
  <si>
    <t>Zulu</t>
  </si>
  <si>
    <t>ZU</t>
  </si>
  <si>
    <t>Saint Helena, Ascension and Tristan da Cunha</t>
  </si>
  <si>
    <t>SH</t>
  </si>
  <si>
    <t>RS</t>
  </si>
  <si>
    <t>Serbia</t>
  </si>
  <si>
    <t>Saint Vincent and the Grenadines</t>
  </si>
  <si>
    <t>VC</t>
  </si>
  <si>
    <t>Saudi Arabia</t>
  </si>
  <si>
    <t>Samoa</t>
  </si>
  <si>
    <t>WS</t>
  </si>
  <si>
    <t>SB</t>
  </si>
  <si>
    <t>Solomon Islands</t>
  </si>
  <si>
    <t>San Marino</t>
  </si>
  <si>
    <t>Seychelles</t>
  </si>
  <si>
    <t>Sao Tome and Principe</t>
  </si>
  <si>
    <t>Sudan</t>
  </si>
  <si>
    <t>Senegal</t>
  </si>
  <si>
    <t>Slovenia</t>
  </si>
  <si>
    <t>Sierra Leone</t>
  </si>
  <si>
    <t>SJ</t>
  </si>
  <si>
    <t>Svalbard and Jan Mayen</t>
  </si>
  <si>
    <t>Slovakia</t>
  </si>
  <si>
    <t>Sint Maarten (Dutch part)</t>
  </si>
  <si>
    <t>SX</t>
  </si>
  <si>
    <t>Somalia</t>
  </si>
  <si>
    <t>Suriname</t>
  </si>
  <si>
    <t>South Sudan</t>
  </si>
  <si>
    <t>SY</t>
  </si>
  <si>
    <t>Syrian Arab Republic</t>
  </si>
  <si>
    <t>Stateless</t>
  </si>
  <si>
    <t>X5</t>
  </si>
  <si>
    <t>SZ</t>
  </si>
  <si>
    <t>Swaziland</t>
  </si>
  <si>
    <t>TC</t>
  </si>
  <si>
    <t>Turks and Caicos Islands</t>
  </si>
  <si>
    <t>Togo</t>
  </si>
  <si>
    <t>Thailand</t>
  </si>
  <si>
    <t>TJ</t>
  </si>
  <si>
    <t>Tajikistan</t>
  </si>
  <si>
    <t>Tokelau</t>
  </si>
  <si>
    <t>Timor-Leste</t>
  </si>
  <si>
    <t>TM</t>
  </si>
  <si>
    <t>Turkmenistan</t>
  </si>
  <si>
    <t>Tunisia</t>
  </si>
  <si>
    <t>Tonga</t>
  </si>
  <si>
    <t>Turkey</t>
  </si>
  <si>
    <t>Trinidad and Tobago</t>
  </si>
  <si>
    <t>TV</t>
  </si>
  <si>
    <t>Tuvalu</t>
  </si>
  <si>
    <t>UA</t>
  </si>
  <si>
    <t>Ukraine</t>
  </si>
  <si>
    <t>Uganda</t>
  </si>
  <si>
    <t>UM</t>
  </si>
  <si>
    <t>United States Minor Outlying Islands</t>
  </si>
  <si>
    <t>UY</t>
  </si>
  <si>
    <t>Uruguay</t>
  </si>
  <si>
    <t>Uzbekistan</t>
  </si>
  <si>
    <t>Virgin Islands (U.S.)</t>
  </si>
  <si>
    <t>VN</t>
  </si>
  <si>
    <t>Viet Nam</t>
  </si>
  <si>
    <t>VU</t>
  </si>
  <si>
    <t>Vanuatu</t>
  </si>
  <si>
    <t>WF</t>
  </si>
  <si>
    <t>Wallis and Futuna</t>
  </si>
  <si>
    <t>YE</t>
  </si>
  <si>
    <t>Yemen</t>
  </si>
  <si>
    <t>Anglo American Zimele Loan Fund (Pty) Ltd</t>
  </si>
  <si>
    <t>Enterprise development initiative and funding managing</t>
  </si>
  <si>
    <t>South Africa Coal Operations Proprietary Limited</t>
  </si>
  <si>
    <t>Anglo American Technical &amp; Sustainability Services South Africa Branch</t>
  </si>
  <si>
    <t>Anglo American Technical &amp; Sustainability Limited</t>
  </si>
  <si>
    <t>Anglo American Technical &amp; Sustainability Services Ltd</t>
  </si>
  <si>
    <t>Anglo American Exploration Colombia Limited</t>
  </si>
  <si>
    <t>Anglo American Finland Holdings 1 Limited</t>
  </si>
  <si>
    <t>Anglo American Finland Holdings 2 Limited</t>
  </si>
  <si>
    <t>Anglo American South Africa Limited</t>
  </si>
  <si>
    <t>Anglo American Zimele (Pty) Limited</t>
  </si>
  <si>
    <t>Anglo Iron Ore Investments Limited</t>
  </si>
  <si>
    <t>Anglo Platinum Management Services (Pty) Ltd</t>
  </si>
  <si>
    <t>Asambeni Mining Proprietary Limited</t>
  </si>
  <si>
    <t>De Beers Group Services (Pty) Ltd</t>
  </si>
  <si>
    <t>De Beers Investments plc</t>
  </si>
  <si>
    <t>Element Six Technologies (Pty) Ltd</t>
  </si>
  <si>
    <t>Element Six Holding Limited</t>
  </si>
  <si>
    <t>Kumba International Trading Limited</t>
  </si>
  <si>
    <t>Micawber 146 (Pty) Ltd</t>
  </si>
  <si>
    <t>Minorco Overseas Holdings Limited</t>
  </si>
  <si>
    <t>R A Gilbert (Pty) Ltd</t>
  </si>
  <si>
    <t>Rietvlei Mining Company (Pty) Ltd</t>
  </si>
  <si>
    <t>Spectrem Air (Pty) Ltd</t>
  </si>
  <si>
    <t>Conducting airborne geophysical surveys</t>
  </si>
  <si>
    <t>Gemfair Limited</t>
  </si>
  <si>
    <t>Whiskey Creek Management Services (Pty) Ltd</t>
  </si>
  <si>
    <t>De Beers Jewellers Limited</t>
  </si>
  <si>
    <t>De Beers Jewellers Trade Mark Limited</t>
  </si>
  <si>
    <t>De Beers Jewellers UK Limited</t>
  </si>
  <si>
    <t>Precious Metals Refiners Proprietary Limited</t>
  </si>
  <si>
    <t>Rustenburg Base Metals Refiners Proprietary Limited</t>
  </si>
  <si>
    <t>Anglo American Venezuela Corporation Limited</t>
  </si>
  <si>
    <t>Gemfair (SL) Limited</t>
  </si>
  <si>
    <t>Ambase Exploration Africa (DRC) Sprl</t>
  </si>
  <si>
    <t>Peregrine Botswana (BVI) Ltd</t>
  </si>
  <si>
    <t>Anglo American Australia Holdings Pty Limited</t>
  </si>
  <si>
    <t>Anglo American Corporation Mocambique Servicos Limitada</t>
  </si>
  <si>
    <t>Câmara de Comércio Brasil República Sul Africana</t>
  </si>
  <si>
    <t>De Beers Angola Holdings Ltda</t>
  </si>
  <si>
    <t>Central Ecuador Holdings Ltd</t>
  </si>
  <si>
    <t>Peregrine Diamonds Ltd</t>
  </si>
  <si>
    <t>Peregrine Exploration Ltd</t>
  </si>
  <si>
    <t>Peregrine Mining Management Ltd</t>
  </si>
  <si>
    <t>De Beers Centenary Angola Properties Angola Branch</t>
  </si>
  <si>
    <t>De Beers Marine Proprietary Limited - Namibia Branch</t>
  </si>
  <si>
    <t>Element Six Technologies (OR) Corp.</t>
  </si>
  <si>
    <t>Inversiones Anglo American Norte SpA</t>
  </si>
  <si>
    <t>Anglo American Copper Finance SpA</t>
  </si>
  <si>
    <t>Anglo American Marketing Chile SpA</t>
  </si>
  <si>
    <t>Anglo American Technical &amp; Sustainability Services Ltd, Agencia en Chile</t>
  </si>
  <si>
    <t>Inversiones Anglo American Sur SpA</t>
  </si>
  <si>
    <t>Inversiones Minorco Chile SpA</t>
  </si>
  <si>
    <t>Kumba Iron Ore Holdings Sarl</t>
  </si>
  <si>
    <t>Jena Unit Trust</t>
  </si>
  <si>
    <t>Anglo American Technical &amp; Sustainability Services Australia Branch</t>
  </si>
  <si>
    <t>Forevermark Marketing (Shanghai) Limited, Xi’an No. 1 Branch</t>
  </si>
  <si>
    <t>Forevermark Marketing Shanghai Company Limited - Beijing Branch</t>
  </si>
  <si>
    <t>Forevermark Marketing Shanghai Company Limited - Shanghai Branch</t>
  </si>
  <si>
    <t>Central Ecuador EC-CT S.A.</t>
  </si>
  <si>
    <t>De Beers Jewellers Japan K.K.</t>
  </si>
  <si>
    <t>De Beers Jewellers (Hong Kong) Limited</t>
  </si>
  <si>
    <t>De Beers Jewellers (Macau) Company Limited</t>
  </si>
  <si>
    <t>De Beers Jewellers French Branch</t>
  </si>
  <si>
    <t>De Beers Jewellers Taiwan Branch</t>
  </si>
  <si>
    <t>De Beers Jewellers US, Inc.</t>
  </si>
  <si>
    <t>Element Six Ltd Dubai Branch</t>
  </si>
  <si>
    <t>Anglo American Italy S.R.L.</t>
  </si>
  <si>
    <t>Support activities for Prospecting and Mining activities</t>
  </si>
  <si>
    <t xml:space="preserve"> </t>
  </si>
  <si>
    <t>Note</t>
  </si>
  <si>
    <t>(1)</t>
  </si>
  <si>
    <t>(3)</t>
  </si>
  <si>
    <t>(2)</t>
  </si>
  <si>
    <t>(4)</t>
  </si>
  <si>
    <t xml:space="preserve">Tax Jurisdiction
</t>
  </si>
  <si>
    <t xml:space="preserve">Name
</t>
  </si>
  <si>
    <t xml:space="preserve">Main Business Activities </t>
  </si>
  <si>
    <t>TABLE 2 ENTITIES</t>
  </si>
  <si>
    <t>TABLE 1 REVENUE</t>
  </si>
  <si>
    <t xml:space="preserve">Unrelated Party
</t>
  </si>
  <si>
    <t xml:space="preserve">Related Party
</t>
  </si>
  <si>
    <t xml:space="preserve">Total 
</t>
  </si>
  <si>
    <t xml:space="preserve">Income Tax Paid (on Cash basis)
</t>
  </si>
  <si>
    <t xml:space="preserve">Stated Capital
</t>
  </si>
  <si>
    <t xml:space="preserve">Accumulated Earnings
</t>
  </si>
  <si>
    <t xml:space="preserve">Number of employees
</t>
  </si>
  <si>
    <t>Tax Jurisdiction</t>
  </si>
  <si>
    <t>Profit / (Loss) before Income Tax</t>
  </si>
  <si>
    <t xml:space="preserve">Income Tax Accrued - Current Year
</t>
  </si>
  <si>
    <t>Not-for-profit organisation. Development and execution for Social Responsibility Programmes</t>
  </si>
  <si>
    <t>JV participant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</si>
</sst>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;\(#,##0\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0.5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vertical="center" wrapText="1"/>
    </xf>
    <xf numFmtId="0" fontId="3" fillId="0" borderId="0" xfId="0" applyFont="1" applyFill="1"/>
    <xf numFmtId="0" fontId="1" fillId="0" borderId="0" xfId="0" applyFont="1"/>
    <xf numFmtId="0" fontId="5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49" fontId="0" fillId="0" borderId="0" xfId="0" applyNumberFormat="1"/>
    <xf numFmtId="0" fontId="8" fillId="0" borderId="0" xfId="0" applyFont="1"/>
    <xf numFmtId="0" fontId="0" fillId="0" borderId="0" xfId="0" applyFill="1" applyBorder="1"/>
    <xf numFmtId="0" fontId="1" fillId="0" borderId="0" xfId="0" applyFont="1" applyFill="1" applyBorder="1"/>
    <xf numFmtId="0" fontId="0" fillId="0" borderId="8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0" xfId="0" applyFill="1"/>
    <xf numFmtId="0" fontId="0" fillId="0" borderId="4" xfId="0" applyFill="1" applyBorder="1"/>
    <xf numFmtId="164" fontId="0" fillId="0" borderId="0" xfId="0" applyNumberFormat="1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0" fillId="0" borderId="1" xfId="0" applyFill="1" applyBorder="1"/>
    <xf numFmtId="0" fontId="0" fillId="0" borderId="1" xfId="0" quotePrefix="1" applyFill="1" applyBorder="1"/>
    <xf numFmtId="0" fontId="0" fillId="0" borderId="9" xfId="0" applyFill="1" applyBorder="1"/>
    <xf numFmtId="164" fontId="0" fillId="0" borderId="9" xfId="1" applyNumberFormat="1" applyFont="1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1" xfId="0" applyFill="1" applyBorder="1" applyAlignment="1">
      <alignment horizontal="right" wrapText="1"/>
    </xf>
    <xf numFmtId="43" fontId="0" fillId="0" borderId="9" xfId="1" applyFont="1" applyFill="1" applyBorder="1"/>
    <xf numFmtId="0" fontId="0" fillId="0" borderId="0" xfId="0" applyAlignment="1">
      <alignment horizontal="right"/>
    </xf>
    <xf numFmtId="0" fontId="0" fillId="0" borderId="11" xfId="0" applyFill="1" applyBorder="1" applyAlignment="1">
      <alignment horizontal="right" vertical="center" textRotation="90" wrapText="1"/>
    </xf>
    <xf numFmtId="0" fontId="0" fillId="0" borderId="0" xfId="0" applyFill="1" applyBorder="1" applyAlignment="1">
      <alignment horizontal="right" vertical="center" wrapText="1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164" fontId="0" fillId="0" borderId="0" xfId="0" applyNumberFormat="1" applyFill="1"/>
    <xf numFmtId="0" fontId="0" fillId="0" borderId="0" xfId="0" applyFill="1" applyBorder="1" applyAlignment="1">
      <alignment horizontal="right" vertical="top" wrapText="1"/>
    </xf>
    <xf numFmtId="0" fontId="0" fillId="0" borderId="11" xfId="0" applyFill="1" applyBorder="1" applyAlignment="1">
      <alignment horizontal="right" vertical="top" wrapText="1"/>
    </xf>
    <xf numFmtId="0" fontId="0" fillId="0" borderId="0" xfId="0" applyFill="1" applyBorder="1" applyAlignment="1">
      <alignment horizontal="left" wrapText="1"/>
    </xf>
    <xf numFmtId="0" fontId="0" fillId="0" borderId="11" xfId="0" applyFill="1" applyBorder="1" applyAlignment="1">
      <alignment horizontal="left" wrapText="1"/>
    </xf>
    <xf numFmtId="0" fontId="0" fillId="0" borderId="12" xfId="0" applyFill="1" applyBorder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0" fontId="0" fillId="0" borderId="11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right" vertical="center"/>
    </xf>
  </cellXfs>
  <cellStyles count="3">
    <cellStyle name="Comma" xfId="1" builtinId="3"/>
    <cellStyle name="Normal" xfId="0" builtinId="0"/>
    <cellStyle name="Percent 2" xfId="2" xr:uid="{73785ECB-C8F1-482E-9B77-6E06F2538A4B}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1</xdr:row>
      <xdr:rowOff>114300</xdr:rowOff>
    </xdr:from>
    <xdr:to>
      <xdr:col>10</xdr:col>
      <xdr:colOff>838200</xdr:colOff>
      <xdr:row>3</xdr:row>
      <xdr:rowOff>76200</xdr:rowOff>
    </xdr:to>
    <xdr:sp macro="" textlink="">
      <xdr:nvSpPr>
        <xdr:cNvPr id="2054" name="Button 6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Generate CBC Template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5</xdr:row>
      <xdr:rowOff>104775</xdr:rowOff>
    </xdr:from>
    <xdr:to>
      <xdr:col>34</xdr:col>
      <xdr:colOff>581025</xdr:colOff>
      <xdr:row>131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276475" y="1057275"/>
          <a:ext cx="19030950" cy="2390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&lt;?xml version="1.0" encoding="utf-8"?&gt;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&lt;Root xmlns:xsi="http://www.w3.org/2001/XMLSchema-instance" xmlns:xsd="http://www.w3.org/2001/XMLSchema"&gt;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&lt;AreaModel Id="_Z_797f9704e7a94ab6a5948e9e1ab3c775" Name="CBC_OECD" XsdElement="CBC_OECD" Address="=Message!$A$1"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&lt;AreaModel Id="_Z_f2bbbc876a9b4a56bf147e365f198c2c" Name="MessageSpec" XsdElement="CBC_OECD;MessageSpec" Address="=Message!$A$2:$M$33"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Id="_Z_aa59eb77e6d34a7db025ec6be787efee" Name="SendingEntityIN" XsdElement="CBC_OECD;MessageSpec;SendingEntityIN" Address="=Message!$C$7"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Id="_Z_48d38aa7faba4183a7734c1f7bdeced4" Name="TransmittingCountry" XsdElement="CBC_OECD;MessageSpec;TransmittingCountry" Address="=Message!$I$9"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Id="_Z_e8c939e9609f47308ebc7cde6364870d" Name="ReceivingCountry" XsdElement="CBC_OECD;MessageSpec;ReceivingCountry" Address="=Message!$I$13"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Id="_Z_c35752148a7f49738b8ec91002c9820e" Name="MessageType" XsdElement="CBC_OECD;MessageSpec;MessageType" Address="=Message!$C$15"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Id="_Z_f0bd3ea3baa34729bfa538cab6345978" Name="Language" XsdElement="CBC_OECD;MessageSpec;Language" Address="=Message!$I$17"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Id="_Z_998d1b978b40451cb7e0a5f032e32165" Name="Warning" XsdElement="CBC_OECD;MessageSpec;Warning" Address="=Message!$C$19:$H$19"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Id="_Z_2786429afb2646ea9629c9e34b653922" Name="Contact" XsdElement="CBC_OECD;MessageSpec;Contact" Address="=Message!$C$21"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Id="_Z_42e4f8d42aff49188b56319b45535ed1" Name="MessageRefId" XsdElement="CBC_OECD;MessageSpec;MessageRefId" Address="=Message!$C$23"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Id="_Z_4044b7d1b12148aaa6803ff7719a21b3" Name="MessageTypeIndic" XsdElement="CBC_OECD;MessageSpec;MessageTypeIndic" Address="=Message!$I$25"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Id="_Z_d3d73e42adbc412c9de95407a38db9be" Name="CorrMessageRefId" XsdElement="CBC_OECD;MessageSpec;CorrMessageRefId" Address="=Message!$C$27"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Id="_Z_52d1184b7a1949c3b4709a85f29b9e87" Name="ReportingPeriod" XsdElement="CBC_OECD;MessageSpec;ReportingPeriod" Address="=Message!$C$31"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Id="_Z_fcc0d15799ff4344b52f99ea3c6757b6" Name="Timestamp" XsdElement="CBC_OECD;MessageSpec;Timestamp" Address="=Message!$C$33"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&lt;AreaModel Id="_Z_549140f4fef44dae9fc18d419f238d28" Name="CbcBody" XsdElement="CBC_OECD;CbcBody" Address="=Message!$A$1"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Id="_Z_5a27435289d4464bb8ef15afd280837f" Name="ReportingEntity" XsdElement="CBC_OECD;CbcBody;ReportingEntity" Address="='Reporting Entity'!$A$1:$J$44"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Id="_Z_6d600ef1e3834613bcf8e35f7e296488" Name="DocSpec" XsdElement="CBC_OECD;CbcBody;ReportingEntity;DocSpec" Address="='Reporting Entity'!$A$3:$J$8"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Id="_Z_047db99f045a46769ba39142b9a1bea3" Name="DocTypeIndic" XsdElement="CBC_OECD;CbcBody;ReportingEntity;DocSpec;DocTypeIndic" Address="='Reporting Entity'!$J$5"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Id="_Z_12f987f7bbc249b980949f6a9b7250bd" Name="DocRefId" XsdElement="CBC_OECD;CbcBody;ReportingEntity;DocSpec;DocRefId" Address="='Reporting Entity'!$D$6"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Id="_Z_ccc1ff6d265c425c9cfcdd074682ef09" Name="CorrMessageRefId" XsdElement="CBC_OECD;CbcBody;ReportingEntity;DocSpec;CorrMessageRefId" Address="='Reporting Entity'!$D$7"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Id="_Z_08c15d3c4af84a118104fa44069c266e" Name="CorrDocRefId" XsdElement="CBC_OECD;CbcBody;ReportingEntity;DocSpec;CorrDocRefId" Address="='Reporting Entity'!$D$8"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Id="_Z_cb8f273f014c45d389423a942999be7d" Name="ReportingRole" XsdElement="CBC_OECD;CbcBody;ReportingEntity;ReportingRole" Address="='Reporting Entity'!$J$44"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Id="_Z_e9892f49a26b460ca644fc1c95ee7b7d" Name="Entity" XsdElement="CBC_OECD;CbcBody;ReportingEntity;Entity" Address="='Reporting Entity'!$A$16:$J$41"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Id="_Z_dccd5c4a6bb449bebe031bb249092066" Name="Name" PrimaryKey="_P_9f2e45a50fe0407c8b716cf9c8cf9cff" XsdElement="CBC_OECD;CbcBody;ReportingEntity;Entity;Name" Address="='Reporting Entity'!$D$17"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Id="_Z_1ae84d66fe784b949e44fa5dc19742bf" Name="ResCountryCode" PrimaryKey="_P_8a99deca56b343309b865ef242209cf2" XsdElement="CBC_OECD;CbcBody;ReportingEntity;Entity;ResCountryCode" Address="='Reporting Entity'!$J$19"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Id="_Z_2423251df7854778b5755916837ceaa4" Name="TIN" XsdElement="CBC_OECD;CbcBody;ReportingEntity;Entity;TIN" Address="='Reporting Entity'!$D$22"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Id="_Z_attr_eae8bf6557c9427083283b097eba1071" Name="issuedBy" XsdElement="CBC_OECD;CbcBody;ReportingEntity;Entity;TIN;issuedBy" Address="='Reporting Entity'!$J$22" RowOffset="0" ColumnOffset="-5"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Id="_Z_5d9cd6fad2e74d6096cea84c075493eb" Name="IN" PrimaryKey="_P_4f9b4da507874e879f483d208cd68fa3" XsdElement="CBC_OECD;CbcBody;ReportingEntity;Entity;IN" Address="='Reporting Entity'!$D$25"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Id="_Z_attr_33745dac8e314b1ba811c65870a62d6f" Name="issuedBy" XsdElement="CBC_OECD;CbcBody;ReportingEntity;Entity;IN;issuedBy" Address="='Reporting Entity'!$J$25" RowOffset="0" ColumnOffset="-5"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Id="_Z_attr_7e715759c79f415ab7b2c70f857f56cd" Name="INType" XsdElement="CBC_OECD;CbcBody;ReportingEntity;Entity;IN;INType" Address="='Reporting Entity'!$F$25"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Id="_Z_7e50d3f82ecf4ebbb285377ed5b6a1ff" Name="Address" PrimaryKey="_P_252bc124fc0a4cdc84fdae6bca436247" XsdElement="CBC_OECD;CbcBody;ReportingEntity;Entity;Address" Address="='Reporting Entity'!$D$27:$D$41"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Id="_Z_attr_16090457ae054592b0c0256c4906f789" Name="legalAddressType" XsdElement="CBC_OECD;CbcBody;ReportingEntity;Entity;Address;legalAddressType" Address="='Reporting Entity'!$D$39" RowOffset="-11"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Id="_Z_3a9634f896b147da9570e3725006211a" Name="CountryCode" XsdElement="CBC_OECD;CbcBody;ReportingEntity;Entity;Address;CountryCode" Address="='Reporting Entity'!$D$40" RowOffset="-11"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Id="_Z_6f83cfcfac1e49339f188b1e315aeb38" Name="AddressFix" XsdElement="CBC_OECD;CbcBody;ReportingEntity;Entity;Address;AddressFix" Address="='Reporting Entity'!$D$30:$D$38"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Id="_Z_7c56e5c31bb54a11860f6bebe068d4c8" Name="Street" XsdElement="CBC_OECD;CbcBody;ReportingEntity;Entity;Address;AddressFix;Street" Address="='Reporting Entity'!$D$30"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Id="_Z_780ba87edc294b39874cef1f89d420e6" Name="BuildingIdentifier" XsdElement="CBC_OECD;CbcBody;ReportingEntity;Entity;Address;AddressFix;BuildingIdentifier" Address="='Reporting Entity'!$D$31"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Id="_Z_b3f6b15094474d1a8cfaf99ae4d862ee" Name="SuiteIdentifier" XsdElement="CBC_OECD;CbcBody;ReportingEntity;Entity;Address;AddressFix;SuiteIdentifier" Address="='Reporting Entity'!$D$32"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Id="_Z_206bd23aec4e4e38813fd40ddfa69cb2" Name="FloorIdentifier" XsdElement="CBC_OECD;CbcBody;ReportingEntity;Entity;Address;AddressFix;FloorIdentifier" Address="='Reporting Entity'!$D$33"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Id="_Z_ec42b8794e214633a8fa3aad0c128e7f" Name="DistrictName" XsdElement="CBC_OECD;CbcBody;ReportingEntity;Entity;Address;AddressFix;DistrictName" Address="='Reporting Entity'!$D$34"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Id="_Z_d37566408d934ca2968102989ff995bb" Name="POB" XsdElement="CBC_OECD;CbcBody;ReportingEntity;Entity;Address;AddressFix;POB" Address="='Reporting Entity'!$D$35"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Id="_Z_1f09ebf5922b486f8e5b7ed5517a6d4f" Name="PostCode" XsdElement="CBC_OECD;CbcBody;ReportingEntity;Entity;Address;AddressFix;PostCode" Address="='Reporting Entity'!$D$36"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Id="_Z_726b794fe86b42bbafa95d456f38bcf2" Name="City" XsdElement="CBC_OECD;CbcBody;ReportingEntity;Entity;Address;AddressFix;City" Address="='Reporting Entity'!$D$37"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Id="_Z_7674c235099244e9bb3aa0c873441aa6" Name="CountrySubentity" XsdElement="CBC_OECD;CbcBody;ReportingEntity;Entity;Address;AddressFix;CountrySubentity" Address="='Reporting Entity'!$D$38"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Id="_Z_e01a94749c87441cba182142a4cfbfd5" Name="CbcReports" PrimaryKey="_P_8abeca41c9e2447da5028b5b7c94ab0c" XsdElement="CBC_OECD;CbcBody;CbcReports" Address="='Jurisdiction Report 1'!$A$1:$R$100"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Id="_Z_0830fbbc7b254b62bfcbd273093837a8" Name="DocSpec" XsdElement="CBC_OECD;CbcBody;CbcReports;DocSpec" Address="='Jurisdiction Report 1'!$A$2:$R$7"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Id="_Z_6d049c79312348b2ab6432d2973ff9af" Name="DocTypeIndic" XsdElement="CBC_OECD;CbcBody;CbcReports;DocSpec;DocTypeIndic" Address="='Jurisdiction Report 1'!$I$4" RowOffset="0" ColumnOffset="-5"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Id="_Z_7589e803a38741b9874b11a1e4aa318f" Name="DocRefId" XsdElement="CBC_OECD;CbcBody;CbcReports;DocSpec;DocRefId" Address="='Jurisdiction Report 1'!$D$5"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Id="_Z_2b76032c014945e486f233d9b76c6fed" Name="CorrMessageRefId" XsdElement="CBC_OECD;CbcBody;CbcReports;DocSpec;CorrMessageRefId" Address="='Jurisdiction Report 1'!$D$6"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Id="_Z_4f13976439af4b55b51d9c1d48317ffe" Name="CorrDocRefId" XsdElement="CBC_OECD;CbcBody;CbcReports;DocSpec;CorrDocRefId" Address="='Jurisdiction Report 1'!$D$7"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Id="_Z_3fca10e10f954ce0b118c336c4f47125" Name="ResCountryCode" XsdElement="CBC_OECD;CbcBody;CbcReports;ResCountryCode" Address="='Jurisdiction Report 1'!$I$32" RowOffset="0" ColumnOffset="-5"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Id="_Z_3256d3282fbc4a57902ac861323f0188" Name="Summary" XsdElement="CBC_OECD;CbcBody;CbcReports;Summary" Address="='Jurisdiction Report 1'!$A$64:$R$82"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Id="_Z_b00f4c761d3f4125b9289f27b47c690b" Name="Revenues" XsdElement="CBC_OECD;CbcBody;CbcReports;Summary;Revenues" Address="='Jurisdiction Report 1'!$E$64:$G$67"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Id="_Z_9b9a699b006b44cc9aef4511ecad191c" Name="Unrelated" XsdElement="CBC_OECD;CbcBody;CbcReports;Summary;Revenues;Unrelated" Address="='Jurisdiction Report 1'!$E$64:$G$64"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Id="_Z_attr_5e536a18644c40beaea783a155a6f96e" Name="currCode" XsdElement="CBC_OECD;CbcBody;CbcReports;Summary;Revenues;Unrelated;currCode" Address="='Jurisdiction Report 1'!$H$64" RowOffset="12"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Id="_Z_ceb55bbeb49e4cd191aa819eb110a708" Name="Related" XsdElement="CBC_OECD;CbcBody;CbcReports;Summary;Revenues;Related" Address="='Jurisdiction Report 1'!$E$65:$G$65"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Id="_Z_attr_ae2a0393cb554491884031f484e08177" Name="currCode" XsdElement="CBC_OECD;CbcBody;CbcReports;Summary;Revenues;Related;currCode" Address="='Jurisdiction Report 1'!$H$65" RowOffset="11"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Id="_Z_ce4da9b05f2148629edf6b28f8482f9c" Name="Total" XsdElement="CBC_OECD;CbcBody;CbcReports;Summary;Revenues;Total" Address="='Jurisdiction Report 1'!$E$66:$G$67"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Id="_Z_attr_c8078fd159ac4c4e86cea6adc75065fb" Name="currCode" XsdElement="CBC_OECD;CbcBody;CbcReports;Summary;Revenues;Total;currCode" Address="='Jurisdiction Report 1'!$H$66:$H$67" RowOffset="10"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Id="_Z_82ca6f7c6f9a47539b551b51e3370ab1" Name="ProfitOrLoss" XsdElement="CBC_OECD;CbcBody;CbcReports;Summary;ProfitOrLoss" Address="='Jurisdiction Report 1'!$E$69:$G$70"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Id="_Z_attr_532aaf22cb1545399325868790da3120" Name="currCode" XsdElement="CBC_OECD;CbcBody;CbcReports;Summary;ProfitOrLoss;currCode" Address="='Jurisdiction Report 1'!$H$69:$H$70" RowOffset="8"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Id="_Z_161a469da1ea4357b87e7c056c6af84e" Name="TaxPaid" XsdElement="CBC_OECD;CbcBody;CbcReports;Summary;TaxPaid" Address="='Jurisdiction Report 1'!$E$71:$G$72"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Id="_Z_attr_edb3324f22ba4325811df82e8b84ef50" Name="currCode" XsdElement="CBC_OECD;CbcBody;CbcReports;Summary;TaxPaid;currCode" Address="='Jurisdiction Report 1'!$H$71:$H$72" RowOffset="7"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Id="_Z_834c2108fff940c4a558bdbfbdab5793" Name="TaxAccrued" XsdElement="CBC_OECD;CbcBody;CbcReports;Summary;TaxAccrued" Address="='Jurisdiction Report 1'!$E$73:$G$74"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Id="_Z_attr_3378507da0064f92a093ea03794d6023" Name="currCode" XsdElement="CBC_OECD;CbcBody;CbcReports;Summary;TaxAccrued;currCode" Address="='Jurisdiction Report 1'!$H$73:$H$74" RowOffset="6"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Id="_Z_7cb1547d0de74a7aa7aea6c688e76518" Name="Capital" XsdElement="CBC_OECD;CbcBody;CbcReports;Summary;Capital" Address="='Jurisdiction Report 1'!$E$75:$G$76"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Id="_Z_attr_404d7649c2d642efb71380d1a614605b" Name="currCode" XsdElement="CBC_OECD;CbcBody;CbcReports;Summary;Capital;currCode" Address="='Jurisdiction Report 1'!$H$75:$H$76" RowOffset="5"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Id="_Z_036dc06e08154c7792d6870f932a7757" Name="Earnings" XsdElement="CBC_OECD;CbcBody;CbcReports;Summary;Earnings" Address="='Jurisdiction Report 1'!$E$77:$G$78"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Id="_Z_attr_adc23bb144324439b57831883d5cd8e1" Name="currCode" XsdElement="CBC_OECD;CbcBody;CbcReports;Summary;Earnings;currCode" Address="='Jurisdiction Report 1'!$H$77:$H$78" RowOffset="4"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Id="_Z_43c4c799434a446faa64d4fbac7c46f6" Name="NbEmployees" XsdElement="CBC_OECD;CbcBody;CbcReports;Summary;NbEmployees" Address="='Jurisdiction Report 1'!$E$79:$G$80"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Id="_Z_d451a5b88b184105b7537dcf50f3f91c" Name="Assets" XsdElement="CBC_OECD;CbcBody;CbcReports;Summary;Assets" Address="='Jurisdiction Report 1'!$E$81:$G$82"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Id="_Z_attr_a05b6c18e7ab4f27a119dcac55bb4d19" Name="currCode" XsdElement="CBC_OECD;CbcBody;CbcReports;Summary;Assets;currCode" Address="='Jurisdiction Report 1'!$H$81:$H$82" RowOffset="2"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        &lt;AreaModel Id="_Z_cf055025c1854f758e2cef94f91b61ec" Name="ConstEntities" PrimaryKey="_P_8d36a053972d467385798b5a8300c4ba" XsdElement="CBC_OECD;CbcBody;CbcReports;ConstEntities" Address="='Jurisdiction Report 1'!$A$40:$R$78"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Id="_Z_16b0d5b6b88941ca9212eea5baeead0b" Name="OtherEntityInfo" XsdElement="CBC_OECD;CbcBody;CbcReports;ConstEntities;OtherEntityInfo" Address="='Jurisdiction Report 1'!$B$77:$H$77"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Id="_Z_b12fa3b165a7498790f2114276956b2a" Name="ConstEntity" XsdElement="CBC_OECD;CbcBody;CbcReports;ConstEntities;ConstEntity" Address="='Jurisdiction Report 1'!$B$41:$I$66"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Id="_Z_0c9dc3c611514041b726fe1d1449b8d6" Name="ResCountryCode" PrimaryKey="_P_f2f8771bce0e47c99e14022f22042555" XsdElement="CBC_OECD;CbcBody;CbcReports;ConstEntities;ConstEntity;ResCountryCode" Address="='Jurisdiction Report 1'!$I$44" RowOffset="0" ColumnOffset="-5"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Id="_Z_b88b766a49304e6ca76099136e779c91" Name="Name" PrimaryKey="_P_e4735385efd1494e921f7c3df6df207a" XsdElement="CBC_OECD;CbcBody;CbcReports;ConstEntities;ConstEntity;Name" Address="='Jurisdiction Report 1'!$D$42"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Id="_Z_20989651be44411b8eca9710662fc25c" Name="TIN" XsdElement="CBC_OECD;CbcBody;CbcReports;ConstEntities;ConstEntity;TIN" Address="='Jurisdiction Report 1'!$D$47"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Id="_Z_attr_90d4fe60e7e74dcbaf711efda838fb11" Name="issuedBy" XsdElement="CBC_OECD;CbcBody;CbcReports;ConstEntities;ConstEntity;TIN;issuedBy" Address="='Jurisdiction Report 1'!$I$47" RowOffset="0" ColumnOffset="-4"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Id="_Z_62b83ae6531d441c94b08b48474dd63d" Name="IN" PrimaryKey="_P_3ad236a5d2254af3adcc8800ed59ce8b" XsdElement="CBC_OECD;CbcBody;CbcReports;ConstEntities;ConstEntity;IN" Address="='Jurisdiction Report 1'!$D$50"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Id="_Z_attr_43aff6d3365c4e0fba0ef69539f5e79a" Name="issuedBy" XsdElement="CBC_OECD;CbcBody;CbcReports;ConstEntities;ConstEntity;IN;issuedBy" Address="='Jurisdiction Report 1'!$I$50" RowOffset="0" ColumnOffset="-4"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Id="_Z_attr_6114d6de96914097a1220ff25136d324" Name="INType" XsdElement="CBC_OECD;CbcBody;CbcReports;ConstEntities;ConstEntity;IN;INType" Address="='Jurisdiction Report 1'!$F$50"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Id="_Z_426555d1382e420fafdf9868ccbe6a59" Name="Address" PrimaryKey="_P_6df39757780d43a19db99e1bca61f530" XsdElement="CBC_OECD;CbcBody;CbcReports;ConstEntities;ConstEntity;Address" Address="='Jurisdiction Report 1'!$D$52:$D$66"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Id="_Z_attr_b128344fdb8a43e497d35c04994336d6" Name="legalAddressType" XsdElement="CBC_OECD;CbcBody;CbcReports;ConstEntities;ConstEntity;Address;legalAddressType" Address="='Jurisdiction Report 1'!$D$64" RowOffset="-11"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Id="_Z_4f060e5b77a644b4a474e8b18bc1ca2a" Name="CountryCode" XsdElement="CBC_OECD;CbcBody;CbcReports;ConstEntities;ConstEntity;Address;CountryCode" Address="='Jurisdiction Report 1'!$D$65" RowOffset="-11"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Id="_Z_de7f2f2ac5e64303b05d452e4a64872b" Name="AddressFix" XsdElement="CBC_OECD;CbcBody;CbcReports;ConstEntities;ConstEntity;Address;AddressFix" Address="='Jurisdiction Report 1'!$D$55:$D$63"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Id="_Z_2a5124797c8543418af27abcaddf71ac" Name="Street" XsdElement="CBC_OECD;CbcBody;CbcReports;ConstEntities;ConstEntity;Address;AddressFix;Street" Address="='Jurisdiction Report 1'!$D$55"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Id="_Z_28c30c7b59bc4e169282a4d43482c8f6" Name="BuildingIdentifier" XsdElement="CBC_OECD;CbcBody;CbcReports;ConstEntities;ConstEntity;Address;AddressFix;BuildingIdentifier" Address="='Jurisdiction Report 1'!$D$56"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Id="_Z_62e3c0bfd4f64d938c62fce33bc90082" Name="SuiteIdentifier" XsdElement="CBC_OECD;CbcBody;CbcReports;ConstEntities;ConstEntity;Address;AddressFix;SuiteIdentifier" Address="='Jurisdiction Report 1'!$D$57"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Id="_Z_5a3e26c0abd547d581b00705629f675f" Name="FloorIdentifier" XsdElement="CBC_OECD;CbcBody;CbcReports;ConstEntities;ConstEntity;Address;AddressFix;FloorIdentifier" Address="='Jurisdiction Report 1'!$D$58"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Id="_Z_53f1e373c7ea419f823aeecb323bb2bc" Name="DistrictName" XsdElement="CBC_OECD;CbcBody;CbcReports;ConstEntities;ConstEntity;Address;AddressFix;DistrictName" Address="='Jurisdiction Report 1'!$D$59"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Id="_Z_ec93fe32fe4b483c87565db15eab8817" Name="POB" XsdElement="CBC_OECD;CbcBody;CbcReports;ConstEntities;ConstEntity;Address;AddressFix;POB" Address="='Jurisdiction Report 1'!$D$60"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Id="_Z_b6c4e763a96a464ba67ca4a5bce0b1db" Name="PostCode" XsdElement="CBC_OECD;CbcBody;CbcReports;ConstEntities;ConstEntity;Address;AddressFix;PostCode" Address="='Jurisdiction Report 1'!$D$61"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Id="_Z_aba68e618fb84853aac354084a1e246d" Name="City" XsdElement="CBC_OECD;CbcBody;CbcReports;ConstEntities;ConstEntity;Address;AddressFix;City" Address="='Jurisdiction Report 1'!$D$62"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Id="_Z_93cdacd9792b469a903ef4943b51ac39" Name="CountrySubentity" XsdElement="CBC_OECD;CbcBody;CbcReports;ConstEntities;ConstEntity;Address;AddressFix;CountrySubentity" Address="='Jurisdiction Report 1'!$D$63"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Id="_Z_c76e8ba684e74069bca9528f845f892d" Name="IncorpCountryCode" XsdElement="CBC_OECD;CbcBody;CbcReports;ConstEntities;IncorpCountryCode" Address="='Jurisdiction Report 1'!$Q$70" RowOffset="0" ColumnOffset="-15"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Id="_Z_42d9a4238cec4aa790bf8a9d2390db8c" Name="BizActivities" PrimaryKey="_P_c4cc89f3a4a743bdb8162e3ac82593ba" XsdElement="CBC_OECD;CbcBody;CbcReports;ConstEntities;BizActivities" Address="='Jurisdiction Report 1'!$D$72:$P$72" RowOffset="-2"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Id="_Z_a2c532ce6f68403c88c63d7e4a6fdcec" Name="AdditionalInfo" PrimaryKey="_P_5293c3d9e1b6408bafe156160ae0d75d" XsdElement="CBC_OECD;CbcBody;AdditionalInfo" Address="='Additional Information'!$A$1:$L$17"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Id="_Z_e2bdc2dbd7f340e49eb5d4b9a39c0d46" Name="DocSpec" XsdElement="CBC_OECD;CbcBody;AdditionalInfo;DocSpec" Address="='Additional Information'!$A$3:$K$8"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Id="_Z_e730cd1d62414f07ac75fa35cf87c19a" Name="DocTypeIndic" XsdElement="CBC_OECD;CbcBody;AdditionalInfo;DocSpec;DocTypeIndic" Address="='Additional Information'!$K$5" RowOffset="0" ColumnOffset="-8"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Id="_Z_f22dbe2927504a31b5823df9d0934680" Name="DocRefId" XsdElement="CBC_OECD;CbcBody;AdditionalInfo;DocSpec;DocRefId" Address="='Additional Information'!$C$6"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Id="_Z_3202ad9cc01e4ebe962f0e88add19f2f" Name="CorrMessageRefId" XsdElement="CBC_OECD;CbcBody;AdditionalInfo;DocSpec;CorrMessageRefId" Address="='Additional Information'!$C$7"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Id="_Z_f6e57ba583464cb4a1104e2c347dd839" Name="CorrDocRefId" XsdElement="CBC_OECD;CbcBody;AdditionalInfo;DocSpec;CorrDocRefId" Address="='Additional Information'!$C$8"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Id="_Z_e5e13b9f778a4e8ca4b92ab725f242e5" Name="OtherInfo" XsdElement="CBC_OECD;CbcBody;AdditionalInfo;OtherInfo" Address="='Additional Information'!$B$14:$I$14"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Id="_Z_7dd041f7fe0f46e5994ea93d30c136f2" Name="ResCountryCode" PrimaryKey="_P_b50fb76e6af143f19f29ff4539f97487" XsdElement="CBC_OECD;CbcBody;AdditionalInfo;ResCountryCode" Address="='Additional Information'!$E$17" RowOffset="0"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Id="_Z_9d94e7ec8d4240b5b9fb5a5087f9da26" Name="SummaryRef" PrimaryKey="_P_b50fb76e6af143f19f29ff4539f97487" XsdElement="CBC_OECD;CbcBody;AdditionalInfo;SummaryRef" Address="='Additional Information'!$F$17" RowOffset="0"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&lt;/Root&gt;</a:t>
          </a:r>
          <a:endParaRPr lang="en-US">
            <a:effectLst/>
          </a:endParaRP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sgbldn009\Tax$\Min\Tax\01.01.08%20Group%20Tax\Groupwide\Reporting\2018\CbC%20Report\2018%20Workings\17.%20Resubmission%202021\Final\INTERNAL%20CbC%20Report%202018%20updated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pdated Version"/>
      <sheetName val="Original"/>
      <sheetName val="Updated Platinum Summary"/>
      <sheetName val="Input - Summary"/>
      <sheetName val="UnrelatedRevenue Platinum HFM"/>
      <sheetName val="RelatedRevenue"/>
      <sheetName val="Updates Kumba summary"/>
      <sheetName val="Financials"/>
    </sheetNames>
    <sheetDataSet>
      <sheetData sheetId="0">
        <row r="59">
          <cell r="B59">
            <v>28132545359.149998</v>
          </cell>
          <cell r="C59">
            <v>24076981274.009998</v>
          </cell>
          <cell r="D59">
            <v>52209526632.159996</v>
          </cell>
          <cell r="E59">
            <v>6613779602</v>
          </cell>
          <cell r="F59">
            <v>-1489123530</v>
          </cell>
          <cell r="G59">
            <v>-1799153347</v>
          </cell>
          <cell r="H59">
            <v>209451126605</v>
          </cell>
          <cell r="I59">
            <v>-26824927584</v>
          </cell>
          <cell r="J59">
            <v>64043</v>
          </cell>
          <cell r="K59">
            <v>29253876646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254"/>
  <sheetViews>
    <sheetView showGridLines="0" tabSelected="1" zoomScale="85" zoomScaleNormal="85" workbookViewId="0">
      <pane ySplit="6" topLeftCell="A46" activePane="bottomLeft" state="frozen"/>
      <selection pane="bottomLeft" activeCell="K59" sqref="K59"/>
    </sheetView>
  </sheetViews>
  <sheetFormatPr defaultColWidth="8.7109375" defaultRowHeight="15" x14ac:dyDescent="0.25"/>
  <cols>
    <col min="1" max="1" width="35.85546875" style="17" customWidth="1"/>
    <col min="2" max="4" width="14.7109375" style="17" customWidth="1"/>
    <col min="5" max="5" width="18.140625" style="17" customWidth="1"/>
    <col min="6" max="6" width="16.28515625" style="17" bestFit="1" customWidth="1"/>
    <col min="7" max="7" width="14.5703125" style="17" bestFit="1" customWidth="1"/>
    <col min="8" max="8" width="18.140625" style="17" bestFit="1" customWidth="1"/>
    <col min="9" max="9" width="17.140625" style="17" bestFit="1" customWidth="1"/>
    <col min="10" max="10" width="12.42578125" style="17" bestFit="1" customWidth="1"/>
    <col min="11" max="11" width="14.7109375" style="17" customWidth="1"/>
    <col min="12" max="12" width="0" style="18" hidden="1" customWidth="1"/>
    <col min="13" max="20" width="9.140625" style="20" customWidth="1"/>
    <col min="21" max="21" width="9.140625" style="21" customWidth="1"/>
    <col min="22" max="16384" width="8.7109375" style="17"/>
  </cols>
  <sheetData>
    <row r="1" spans="1:21" x14ac:dyDescent="0.25">
      <c r="A1" s="13" t="s">
        <v>1765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4"/>
      <c r="M1" s="15"/>
      <c r="N1" s="15"/>
      <c r="O1" s="15"/>
      <c r="P1" s="15"/>
      <c r="Q1" s="15"/>
      <c r="R1" s="15"/>
      <c r="S1" s="15"/>
      <c r="T1" s="15"/>
      <c r="U1" s="16"/>
    </row>
    <row r="2" spans="1:21" x14ac:dyDescent="0.25">
      <c r="A2" s="12" t="s">
        <v>0</v>
      </c>
      <c r="B2" s="12"/>
      <c r="C2" s="12"/>
      <c r="D2" s="12"/>
      <c r="E2" s="12"/>
      <c r="F2" s="12"/>
      <c r="G2" s="12"/>
      <c r="H2" s="12"/>
      <c r="I2" s="12"/>
      <c r="J2" s="12"/>
      <c r="K2" s="12"/>
      <c r="M2" s="15"/>
      <c r="N2" s="15"/>
      <c r="O2" s="15"/>
      <c r="P2" s="15"/>
      <c r="Q2" s="15"/>
      <c r="R2" s="15"/>
      <c r="S2" s="15"/>
      <c r="T2" s="15"/>
      <c r="U2" s="16"/>
    </row>
    <row r="3" spans="1:21" x14ac:dyDescent="0.25">
      <c r="A3" s="12" t="s">
        <v>1</v>
      </c>
      <c r="B3" s="12"/>
      <c r="C3" s="19"/>
      <c r="D3" s="12"/>
      <c r="E3" s="12"/>
      <c r="F3" s="12"/>
      <c r="G3" s="12"/>
      <c r="H3" s="12"/>
      <c r="I3" s="12"/>
      <c r="J3" s="12"/>
      <c r="K3" s="12"/>
    </row>
    <row r="4" spans="1:21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22"/>
    </row>
    <row r="5" spans="1:21" ht="14.45" customHeight="1" x14ac:dyDescent="0.25">
      <c r="A5" s="44" t="s">
        <v>1773</v>
      </c>
      <c r="B5" s="46" t="s">
        <v>2</v>
      </c>
      <c r="C5" s="46"/>
      <c r="D5" s="46"/>
      <c r="E5" s="42" t="s">
        <v>1774</v>
      </c>
      <c r="F5" s="42" t="s">
        <v>1769</v>
      </c>
      <c r="G5" s="42" t="s">
        <v>1775</v>
      </c>
      <c r="H5" s="42" t="s">
        <v>1770</v>
      </c>
      <c r="I5" s="42" t="s">
        <v>1771</v>
      </c>
      <c r="J5" s="42" t="s">
        <v>1772</v>
      </c>
      <c r="K5" s="42" t="s">
        <v>3</v>
      </c>
      <c r="L5" s="28" t="s">
        <v>1756</v>
      </c>
      <c r="M5" s="18"/>
    </row>
    <row r="6" spans="1:21" ht="45.75" thickBot="1" x14ac:dyDescent="0.3">
      <c r="A6" s="45"/>
      <c r="B6" s="30" t="s">
        <v>1766</v>
      </c>
      <c r="C6" s="30" t="s">
        <v>1767</v>
      </c>
      <c r="D6" s="30" t="s">
        <v>1768</v>
      </c>
      <c r="E6" s="43"/>
      <c r="F6" s="43"/>
      <c r="G6" s="43"/>
      <c r="H6" s="43"/>
      <c r="I6" s="43"/>
      <c r="J6" s="43"/>
      <c r="K6" s="43"/>
      <c r="L6" s="29"/>
      <c r="M6" s="18"/>
    </row>
    <row r="7" spans="1:21" x14ac:dyDescent="0.25">
      <c r="A7" s="26" t="s">
        <v>5</v>
      </c>
      <c r="B7" s="27">
        <v>1667898</v>
      </c>
      <c r="C7" s="31">
        <v>0</v>
      </c>
      <c r="D7" s="27">
        <v>1667898</v>
      </c>
      <c r="E7" s="27">
        <v>-2345630</v>
      </c>
      <c r="F7" s="31">
        <v>0</v>
      </c>
      <c r="G7" s="31">
        <v>0</v>
      </c>
      <c r="H7" s="27">
        <v>290594</v>
      </c>
      <c r="I7" s="27">
        <v>295572394</v>
      </c>
      <c r="J7" s="27">
        <v>5.5</v>
      </c>
      <c r="K7" s="31">
        <v>0</v>
      </c>
      <c r="L7" s="24"/>
      <c r="M7" s="18"/>
      <c r="N7" s="23"/>
    </row>
    <row r="8" spans="1:21" x14ac:dyDescent="0.25">
      <c r="A8" s="26" t="s">
        <v>6</v>
      </c>
      <c r="B8" s="31">
        <v>0</v>
      </c>
      <c r="C8" s="31">
        <v>0</v>
      </c>
      <c r="D8" s="31">
        <v>0</v>
      </c>
      <c r="E8" s="27">
        <v>-1769510</v>
      </c>
      <c r="F8" s="27">
        <v>15570</v>
      </c>
      <c r="G8" s="31">
        <v>0</v>
      </c>
      <c r="H8" s="27">
        <v>17649021</v>
      </c>
      <c r="I8" s="27">
        <v>16561265</v>
      </c>
      <c r="J8" s="27">
        <v>4</v>
      </c>
      <c r="K8" s="27">
        <v>42482</v>
      </c>
      <c r="L8" s="24"/>
      <c r="M8" s="18"/>
      <c r="N8" s="12"/>
      <c r="O8" s="18"/>
    </row>
    <row r="9" spans="1:21" x14ac:dyDescent="0.25">
      <c r="A9" s="26" t="s">
        <v>7</v>
      </c>
      <c r="B9" s="27">
        <v>3805951882</v>
      </c>
      <c r="C9" s="27">
        <v>246961613</v>
      </c>
      <c r="D9" s="27">
        <v>4052913495</v>
      </c>
      <c r="E9" s="27">
        <v>2620771471</v>
      </c>
      <c r="F9" s="27">
        <v>339347396</v>
      </c>
      <c r="G9" s="27">
        <v>423801690</v>
      </c>
      <c r="H9" s="27">
        <v>2384275840</v>
      </c>
      <c r="I9" s="27">
        <v>262039491</v>
      </c>
      <c r="J9" s="27">
        <v>1706</v>
      </c>
      <c r="K9" s="27">
        <v>3480311533</v>
      </c>
      <c r="L9" s="24"/>
      <c r="M9" s="18"/>
      <c r="N9" s="12"/>
      <c r="O9" s="18"/>
    </row>
    <row r="10" spans="1:21" x14ac:dyDescent="0.25">
      <c r="A10" s="26" t="s">
        <v>8</v>
      </c>
      <c r="B10" s="27">
        <v>118</v>
      </c>
      <c r="C10" s="27">
        <v>12587177</v>
      </c>
      <c r="D10" s="27">
        <v>12587294</v>
      </c>
      <c r="E10" s="27">
        <v>992086</v>
      </c>
      <c r="F10" s="27">
        <v>1038</v>
      </c>
      <c r="G10" s="27">
        <v>943</v>
      </c>
      <c r="H10" s="27">
        <v>11088546</v>
      </c>
      <c r="I10" s="27">
        <v>-10352686</v>
      </c>
      <c r="J10" s="27">
        <v>77</v>
      </c>
      <c r="K10" s="27">
        <v>2029553</v>
      </c>
      <c r="L10" s="24"/>
      <c r="M10" s="18"/>
      <c r="N10" s="12"/>
      <c r="O10" s="18"/>
    </row>
    <row r="11" spans="1:21" x14ac:dyDescent="0.25">
      <c r="A11" s="26" t="s">
        <v>9</v>
      </c>
      <c r="B11" s="27">
        <v>1919293</v>
      </c>
      <c r="C11" s="27">
        <v>132122593</v>
      </c>
      <c r="D11" s="27">
        <v>134041886</v>
      </c>
      <c r="E11" s="27">
        <v>48385050</v>
      </c>
      <c r="F11" s="27">
        <v>65115</v>
      </c>
      <c r="G11" s="27">
        <v>65115</v>
      </c>
      <c r="H11" s="27">
        <v>214532169</v>
      </c>
      <c r="I11" s="27">
        <v>-493210917</v>
      </c>
      <c r="J11" s="31">
        <v>0</v>
      </c>
      <c r="K11" s="31">
        <v>0</v>
      </c>
      <c r="L11" s="25" t="s">
        <v>1757</v>
      </c>
      <c r="M11" s="18"/>
      <c r="N11" s="12"/>
      <c r="O11" s="18"/>
    </row>
    <row r="12" spans="1:21" x14ac:dyDescent="0.25">
      <c r="A12" s="26" t="s">
        <v>10</v>
      </c>
      <c r="B12" s="27">
        <v>4267111171</v>
      </c>
      <c r="C12" s="27">
        <v>2940116879</v>
      </c>
      <c r="D12" s="27">
        <v>7207228049</v>
      </c>
      <c r="E12" s="27">
        <v>461545310</v>
      </c>
      <c r="F12" s="27">
        <v>89943249</v>
      </c>
      <c r="G12" s="27">
        <v>91743180</v>
      </c>
      <c r="H12" s="27">
        <v>252137725</v>
      </c>
      <c r="I12" s="27">
        <v>-450515331</v>
      </c>
      <c r="J12" s="27">
        <v>1524</v>
      </c>
      <c r="K12" s="27">
        <v>1590838681</v>
      </c>
      <c r="L12" s="24"/>
      <c r="M12" s="18"/>
      <c r="N12" s="12"/>
      <c r="O12" s="18"/>
    </row>
    <row r="13" spans="1:21" x14ac:dyDescent="0.25">
      <c r="A13" s="26" t="s">
        <v>11</v>
      </c>
      <c r="B13" s="27">
        <v>155545575</v>
      </c>
      <c r="C13" s="27">
        <v>653099348</v>
      </c>
      <c r="D13" s="27">
        <v>808644923</v>
      </c>
      <c r="E13" s="27">
        <v>-581282410</v>
      </c>
      <c r="F13" s="27">
        <v>2482</v>
      </c>
      <c r="G13" s="27">
        <v>22417153</v>
      </c>
      <c r="H13" s="27">
        <v>22027701639</v>
      </c>
      <c r="I13" s="27">
        <v>12249461536</v>
      </c>
      <c r="J13" s="27">
        <v>3417</v>
      </c>
      <c r="K13" s="27">
        <v>1523560877</v>
      </c>
      <c r="L13" s="24"/>
      <c r="M13" s="18"/>
      <c r="N13" s="12"/>
      <c r="O13" s="18"/>
    </row>
    <row r="14" spans="1:21" x14ac:dyDescent="0.25">
      <c r="A14" s="26" t="s">
        <v>13</v>
      </c>
      <c r="B14" s="27">
        <v>29990544</v>
      </c>
      <c r="C14" s="27">
        <v>571727519</v>
      </c>
      <c r="D14" s="27">
        <v>601718063</v>
      </c>
      <c r="E14" s="27">
        <v>66059928</v>
      </c>
      <c r="F14" s="27">
        <v>15679826</v>
      </c>
      <c r="G14" s="27">
        <v>29159574</v>
      </c>
      <c r="H14" s="27">
        <v>354139877</v>
      </c>
      <c r="I14" s="27">
        <v>3348827958</v>
      </c>
      <c r="J14" s="27">
        <v>857</v>
      </c>
      <c r="K14" s="27">
        <v>393648708</v>
      </c>
      <c r="L14" s="24"/>
      <c r="M14" s="18"/>
      <c r="N14" s="15"/>
    </row>
    <row r="15" spans="1:21" x14ac:dyDescent="0.25">
      <c r="A15" s="26" t="s">
        <v>14</v>
      </c>
      <c r="B15" s="27">
        <v>1652496197</v>
      </c>
      <c r="C15" s="27">
        <v>2832208417</v>
      </c>
      <c r="D15" s="27">
        <v>4484704614</v>
      </c>
      <c r="E15" s="27">
        <v>1305943208</v>
      </c>
      <c r="F15" s="27">
        <v>292787367</v>
      </c>
      <c r="G15" s="27">
        <v>460709462</v>
      </c>
      <c r="H15" s="27">
        <v>2184707649</v>
      </c>
      <c r="I15" s="27">
        <v>-6080934247</v>
      </c>
      <c r="J15" s="27">
        <v>4293</v>
      </c>
      <c r="K15" s="27">
        <v>6442429455</v>
      </c>
      <c r="L15" s="24"/>
      <c r="M15" s="18"/>
    </row>
    <row r="16" spans="1:21" x14ac:dyDescent="0.25">
      <c r="A16" s="26" t="s">
        <v>16</v>
      </c>
      <c r="B16" s="27">
        <v>55601505</v>
      </c>
      <c r="C16" s="27">
        <v>24513389</v>
      </c>
      <c r="D16" s="27">
        <v>80114894</v>
      </c>
      <c r="E16" s="27">
        <v>13715137</v>
      </c>
      <c r="F16" s="27">
        <v>370611</v>
      </c>
      <c r="G16" s="27">
        <v>296104</v>
      </c>
      <c r="H16" s="27">
        <v>34395475</v>
      </c>
      <c r="I16" s="27">
        <v>20682806</v>
      </c>
      <c r="J16" s="27">
        <v>271</v>
      </c>
      <c r="K16" s="27">
        <v>40048906</v>
      </c>
      <c r="L16" s="24"/>
      <c r="M16" s="18"/>
    </row>
    <row r="17" spans="1:13" x14ac:dyDescent="0.25">
      <c r="A17" s="26" t="s">
        <v>15</v>
      </c>
      <c r="B17" s="31">
        <v>0</v>
      </c>
      <c r="C17" s="31">
        <v>0</v>
      </c>
      <c r="D17" s="31">
        <v>0</v>
      </c>
      <c r="E17" s="27">
        <v>-1282910</v>
      </c>
      <c r="F17" s="31">
        <v>0</v>
      </c>
      <c r="G17" s="31">
        <v>0</v>
      </c>
      <c r="H17" s="27">
        <v>23840812</v>
      </c>
      <c r="I17" s="27">
        <v>23263183</v>
      </c>
      <c r="J17" s="27">
        <v>2</v>
      </c>
      <c r="K17" s="27">
        <v>10566</v>
      </c>
      <c r="L17" s="24"/>
      <c r="M17" s="18"/>
    </row>
    <row r="18" spans="1:13" x14ac:dyDescent="0.25">
      <c r="A18" s="26" t="s">
        <v>17</v>
      </c>
      <c r="B18" s="31">
        <v>0</v>
      </c>
      <c r="C18" s="31">
        <v>0</v>
      </c>
      <c r="D18" s="31">
        <v>0</v>
      </c>
      <c r="E18" s="31">
        <v>0</v>
      </c>
      <c r="F18" s="31">
        <v>0</v>
      </c>
      <c r="G18" s="31">
        <v>0</v>
      </c>
      <c r="H18" s="27">
        <v>21958600</v>
      </c>
      <c r="I18" s="31">
        <v>0</v>
      </c>
      <c r="J18" s="31">
        <v>0</v>
      </c>
      <c r="K18" s="31">
        <v>0</v>
      </c>
      <c r="L18" s="24"/>
      <c r="M18" s="18"/>
    </row>
    <row r="19" spans="1:13" x14ac:dyDescent="0.25">
      <c r="A19" s="26" t="s">
        <v>20</v>
      </c>
      <c r="B19" s="31">
        <v>0</v>
      </c>
      <c r="C19" s="31">
        <v>0</v>
      </c>
      <c r="D19" s="31">
        <v>0</v>
      </c>
      <c r="E19" s="27">
        <v>-2167419</v>
      </c>
      <c r="F19" s="31">
        <v>0</v>
      </c>
      <c r="G19" s="31">
        <v>0</v>
      </c>
      <c r="H19" s="27">
        <v>40900</v>
      </c>
      <c r="I19" s="27">
        <v>4740000</v>
      </c>
      <c r="J19" s="27">
        <v>4</v>
      </c>
      <c r="K19" s="31">
        <v>0</v>
      </c>
      <c r="L19" s="24"/>
      <c r="M19" s="18"/>
    </row>
    <row r="20" spans="1:13" x14ac:dyDescent="0.25">
      <c r="A20" s="26" t="s">
        <v>21</v>
      </c>
      <c r="B20" s="31">
        <v>0</v>
      </c>
      <c r="C20" s="31">
        <v>0</v>
      </c>
      <c r="D20" s="31">
        <v>0</v>
      </c>
      <c r="E20" s="27">
        <v>-28692940</v>
      </c>
      <c r="F20" s="31">
        <v>0</v>
      </c>
      <c r="G20" s="31">
        <v>0</v>
      </c>
      <c r="H20" s="27">
        <v>134813011</v>
      </c>
      <c r="I20" s="27">
        <v>30283830</v>
      </c>
      <c r="J20" s="27">
        <v>3</v>
      </c>
      <c r="K20" s="27">
        <v>5039650</v>
      </c>
      <c r="L20" s="24"/>
      <c r="M20" s="18"/>
    </row>
    <row r="21" spans="1:13" x14ac:dyDescent="0.25">
      <c r="A21" s="26" t="s">
        <v>18</v>
      </c>
      <c r="B21" s="27">
        <v>18719248</v>
      </c>
      <c r="C21" s="31">
        <v>0</v>
      </c>
      <c r="D21" s="27">
        <v>18719248</v>
      </c>
      <c r="E21" s="27">
        <v>234749</v>
      </c>
      <c r="F21" s="31">
        <v>0</v>
      </c>
      <c r="G21" s="27">
        <v>33709</v>
      </c>
      <c r="H21" s="31">
        <v>0</v>
      </c>
      <c r="I21" s="27">
        <v>5360826</v>
      </c>
      <c r="J21" s="27">
        <v>23</v>
      </c>
      <c r="K21" s="27">
        <v>20050963</v>
      </c>
      <c r="L21" s="24"/>
      <c r="M21" s="18"/>
    </row>
    <row r="22" spans="1:13" x14ac:dyDescent="0.25">
      <c r="A22" s="26" t="s">
        <v>22</v>
      </c>
      <c r="B22" s="27">
        <v>80542907</v>
      </c>
      <c r="C22" s="27">
        <v>6562283</v>
      </c>
      <c r="D22" s="27">
        <v>87105190</v>
      </c>
      <c r="E22" s="27">
        <v>5716378</v>
      </c>
      <c r="F22" s="27">
        <v>866832</v>
      </c>
      <c r="G22" s="27">
        <v>1623521</v>
      </c>
      <c r="H22" s="27">
        <v>30315789</v>
      </c>
      <c r="I22" s="27">
        <v>-19645761</v>
      </c>
      <c r="J22" s="27">
        <v>306</v>
      </c>
      <c r="K22" s="27">
        <v>32680364</v>
      </c>
      <c r="L22" s="24"/>
      <c r="M22" s="18"/>
    </row>
    <row r="23" spans="1:13" x14ac:dyDescent="0.25">
      <c r="A23" s="26" t="s">
        <v>23</v>
      </c>
      <c r="B23" s="31">
        <v>0</v>
      </c>
      <c r="C23" s="31">
        <v>0</v>
      </c>
      <c r="D23" s="31">
        <v>0</v>
      </c>
      <c r="E23" s="31">
        <v>0</v>
      </c>
      <c r="F23" s="31">
        <v>0</v>
      </c>
      <c r="G23" s="31">
        <v>0</v>
      </c>
      <c r="H23" s="31">
        <v>0</v>
      </c>
      <c r="I23" s="31">
        <v>0</v>
      </c>
      <c r="J23" s="31">
        <v>0</v>
      </c>
      <c r="K23" s="31">
        <v>0</v>
      </c>
      <c r="L23" s="24"/>
      <c r="M23" s="18"/>
    </row>
    <row r="24" spans="1:13" x14ac:dyDescent="0.25">
      <c r="A24" s="26" t="s">
        <v>24</v>
      </c>
      <c r="B24" s="27">
        <v>43640673</v>
      </c>
      <c r="C24" s="27">
        <v>5074804</v>
      </c>
      <c r="D24" s="27">
        <v>48715477</v>
      </c>
      <c r="E24" s="27">
        <v>-1233456</v>
      </c>
      <c r="F24" s="31">
        <v>0</v>
      </c>
      <c r="G24" s="27">
        <v>429884</v>
      </c>
      <c r="H24" s="27">
        <v>18069096</v>
      </c>
      <c r="I24" s="27">
        <v>3696518</v>
      </c>
      <c r="J24" s="27">
        <v>28</v>
      </c>
      <c r="K24" s="27">
        <v>25439398</v>
      </c>
      <c r="L24" s="24"/>
      <c r="M24" s="18"/>
    </row>
    <row r="25" spans="1:13" x14ac:dyDescent="0.25">
      <c r="A25" s="26" t="s">
        <v>25</v>
      </c>
      <c r="B25" s="27">
        <v>463377</v>
      </c>
      <c r="C25" s="27">
        <v>18817563</v>
      </c>
      <c r="D25" s="27">
        <v>19280941</v>
      </c>
      <c r="E25" s="27">
        <v>-2432520</v>
      </c>
      <c r="F25" s="27">
        <v>25193</v>
      </c>
      <c r="G25" s="27">
        <v>60224</v>
      </c>
      <c r="H25" s="27">
        <v>25946644</v>
      </c>
      <c r="I25" s="27">
        <v>13308893</v>
      </c>
      <c r="J25" s="27">
        <v>110</v>
      </c>
      <c r="K25" s="27">
        <v>7036782</v>
      </c>
      <c r="L25" s="24"/>
      <c r="M25" s="18"/>
    </row>
    <row r="26" spans="1:13" x14ac:dyDescent="0.25">
      <c r="A26" s="26" t="s">
        <v>26</v>
      </c>
      <c r="B26" s="31">
        <v>0</v>
      </c>
      <c r="C26" s="31">
        <v>0</v>
      </c>
      <c r="D26" s="31">
        <v>0</v>
      </c>
      <c r="E26" s="31">
        <v>0</v>
      </c>
      <c r="F26" s="31">
        <v>0</v>
      </c>
      <c r="G26" s="31">
        <v>0</v>
      </c>
      <c r="H26" s="27">
        <v>4400000</v>
      </c>
      <c r="I26" s="27">
        <v>220</v>
      </c>
      <c r="J26" s="31">
        <v>0</v>
      </c>
      <c r="K26" s="31">
        <v>0</v>
      </c>
      <c r="L26" s="24"/>
      <c r="M26" s="18" t="s">
        <v>1755</v>
      </c>
    </row>
    <row r="27" spans="1:13" x14ac:dyDescent="0.25">
      <c r="A27" s="26" t="s">
        <v>28</v>
      </c>
      <c r="B27" s="27">
        <v>107693293</v>
      </c>
      <c r="C27" s="27">
        <v>133001339</v>
      </c>
      <c r="D27" s="27">
        <v>240694632</v>
      </c>
      <c r="E27" s="27">
        <v>14074554</v>
      </c>
      <c r="F27" s="27">
        <v>3535821</v>
      </c>
      <c r="G27" s="27">
        <v>3082986</v>
      </c>
      <c r="H27" s="27">
        <v>30504929</v>
      </c>
      <c r="I27" s="27">
        <v>-64123918</v>
      </c>
      <c r="J27" s="27">
        <v>563</v>
      </c>
      <c r="K27" s="27">
        <v>84188986</v>
      </c>
      <c r="L27" s="24"/>
      <c r="M27" s="18"/>
    </row>
    <row r="28" spans="1:13" x14ac:dyDescent="0.25">
      <c r="A28" s="26" t="s">
        <v>27</v>
      </c>
      <c r="B28" s="31">
        <v>0</v>
      </c>
      <c r="C28" s="27">
        <v>257555</v>
      </c>
      <c r="D28" s="27">
        <v>257555</v>
      </c>
      <c r="E28" s="27">
        <v>-2874059</v>
      </c>
      <c r="F28" s="31">
        <v>0</v>
      </c>
      <c r="G28" s="31">
        <v>0</v>
      </c>
      <c r="H28" s="27">
        <v>160440</v>
      </c>
      <c r="I28" s="27">
        <v>72079201</v>
      </c>
      <c r="J28" s="31">
        <v>0</v>
      </c>
      <c r="K28" s="31">
        <v>0</v>
      </c>
      <c r="L28" s="24"/>
      <c r="M28" s="18"/>
    </row>
    <row r="29" spans="1:13" x14ac:dyDescent="0.25">
      <c r="A29" s="26" t="s">
        <v>29</v>
      </c>
      <c r="B29" s="27">
        <v>11025</v>
      </c>
      <c r="C29" s="27">
        <v>907543</v>
      </c>
      <c r="D29" s="27">
        <v>918568</v>
      </c>
      <c r="E29" s="27">
        <v>72236</v>
      </c>
      <c r="F29" s="27">
        <v>23963</v>
      </c>
      <c r="G29" s="27">
        <v>28425</v>
      </c>
      <c r="H29" s="27">
        <v>4010000</v>
      </c>
      <c r="I29" s="27">
        <v>2650653</v>
      </c>
      <c r="J29" s="27">
        <v>2</v>
      </c>
      <c r="K29" s="27">
        <v>54889</v>
      </c>
      <c r="L29" s="24"/>
      <c r="M29" s="18"/>
    </row>
    <row r="30" spans="1:13" x14ac:dyDescent="0.25">
      <c r="A30" s="26" t="s">
        <v>30</v>
      </c>
      <c r="B30" s="27">
        <v>-4</v>
      </c>
      <c r="C30" s="27">
        <v>1869754</v>
      </c>
      <c r="D30" s="27">
        <v>1869749</v>
      </c>
      <c r="E30" s="27">
        <v>112326</v>
      </c>
      <c r="F30" s="27">
        <v>72915</v>
      </c>
      <c r="G30" s="27">
        <v>36281</v>
      </c>
      <c r="H30" s="27">
        <v>28523</v>
      </c>
      <c r="I30" s="27">
        <v>-237248</v>
      </c>
      <c r="J30" s="27">
        <v>8</v>
      </c>
      <c r="K30" s="27">
        <v>64859</v>
      </c>
      <c r="L30" s="24"/>
      <c r="M30" s="18"/>
    </row>
    <row r="31" spans="1:13" x14ac:dyDescent="0.25">
      <c r="A31" s="26" t="s">
        <v>31</v>
      </c>
      <c r="B31" s="27">
        <v>23353379</v>
      </c>
      <c r="C31" s="27">
        <v>9069182</v>
      </c>
      <c r="D31" s="27">
        <v>32422561</v>
      </c>
      <c r="E31" s="27">
        <v>688532</v>
      </c>
      <c r="F31" s="27">
        <v>51425</v>
      </c>
      <c r="G31" s="27">
        <v>194434</v>
      </c>
      <c r="H31" s="27">
        <v>4678566</v>
      </c>
      <c r="I31" s="27">
        <v>15166491</v>
      </c>
      <c r="J31" s="27">
        <v>25</v>
      </c>
      <c r="K31" s="27">
        <v>936185</v>
      </c>
      <c r="L31" s="24"/>
      <c r="M31" s="18"/>
    </row>
    <row r="32" spans="1:13" x14ac:dyDescent="0.25">
      <c r="A32" s="26" t="s">
        <v>33</v>
      </c>
      <c r="B32" s="31">
        <v>0</v>
      </c>
      <c r="C32" s="31">
        <v>0</v>
      </c>
      <c r="D32" s="31">
        <v>0</v>
      </c>
      <c r="E32" s="31">
        <v>0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24"/>
      <c r="M32" s="18"/>
    </row>
    <row r="33" spans="1:13" x14ac:dyDescent="0.25">
      <c r="A33" s="26" t="s">
        <v>32</v>
      </c>
      <c r="B33" s="31">
        <v>0</v>
      </c>
      <c r="C33" s="31">
        <v>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27">
        <v>-28</v>
      </c>
      <c r="J33" s="31">
        <v>0</v>
      </c>
      <c r="K33" s="31">
        <v>0</v>
      </c>
      <c r="L33" s="24"/>
      <c r="M33" s="18"/>
    </row>
    <row r="34" spans="1:13" x14ac:dyDescent="0.25">
      <c r="A34" s="26" t="s">
        <v>34</v>
      </c>
      <c r="B34" s="27">
        <v>516015433</v>
      </c>
      <c r="C34" s="27">
        <v>1440894088</v>
      </c>
      <c r="D34" s="27">
        <v>1956909521</v>
      </c>
      <c r="E34" s="27">
        <v>154507587</v>
      </c>
      <c r="F34" s="27">
        <v>4652032</v>
      </c>
      <c r="G34" s="27">
        <v>7142492</v>
      </c>
      <c r="H34" s="27">
        <v>31485246340</v>
      </c>
      <c r="I34" s="27">
        <v>-4573032739</v>
      </c>
      <c r="J34" s="27">
        <v>3</v>
      </c>
      <c r="K34" s="27">
        <v>7382557</v>
      </c>
      <c r="L34" s="25" t="s">
        <v>1759</v>
      </c>
      <c r="M34" s="18"/>
    </row>
    <row r="35" spans="1:13" x14ac:dyDescent="0.25">
      <c r="A35" s="26" t="s">
        <v>35</v>
      </c>
      <c r="B35" s="27">
        <v>3312291</v>
      </c>
      <c r="C35" s="31">
        <v>0</v>
      </c>
      <c r="D35" s="27">
        <v>3312291</v>
      </c>
      <c r="E35" s="27">
        <v>-337512</v>
      </c>
      <c r="F35" s="31">
        <v>0</v>
      </c>
      <c r="G35" s="31">
        <v>0</v>
      </c>
      <c r="H35" s="27">
        <v>12400</v>
      </c>
      <c r="I35" s="27">
        <v>1742939</v>
      </c>
      <c r="J35" s="31">
        <v>0</v>
      </c>
      <c r="K35" s="27">
        <v>4649882</v>
      </c>
      <c r="L35" s="24"/>
      <c r="M35" s="18"/>
    </row>
    <row r="36" spans="1:13" x14ac:dyDescent="0.25">
      <c r="A36" s="26" t="s">
        <v>36</v>
      </c>
      <c r="B36" s="31">
        <v>0</v>
      </c>
      <c r="C36" s="31">
        <v>0</v>
      </c>
      <c r="D36" s="31">
        <v>0</v>
      </c>
      <c r="E36" s="31">
        <v>0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24"/>
      <c r="M36" s="18"/>
    </row>
    <row r="37" spans="1:13" x14ac:dyDescent="0.25">
      <c r="A37" s="26" t="s">
        <v>37</v>
      </c>
      <c r="B37" s="31">
        <v>0</v>
      </c>
      <c r="C37" s="31">
        <v>0</v>
      </c>
      <c r="D37" s="31">
        <v>0</v>
      </c>
      <c r="E37" s="31">
        <v>0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24"/>
      <c r="M37" s="18"/>
    </row>
    <row r="38" spans="1:13" x14ac:dyDescent="0.25">
      <c r="A38" s="26" t="s">
        <v>39</v>
      </c>
      <c r="B38" s="27">
        <v>275590075</v>
      </c>
      <c r="C38" s="27">
        <v>1304518761</v>
      </c>
      <c r="D38" s="27">
        <v>1580108837</v>
      </c>
      <c r="E38" s="27">
        <v>149259724</v>
      </c>
      <c r="F38" s="27">
        <v>59509794</v>
      </c>
      <c r="G38" s="27">
        <v>59217550</v>
      </c>
      <c r="H38" s="27">
        <v>116592946</v>
      </c>
      <c r="I38" s="27">
        <v>-151768232</v>
      </c>
      <c r="J38" s="27">
        <v>1429</v>
      </c>
      <c r="K38" s="27">
        <v>270024915</v>
      </c>
      <c r="L38" s="24"/>
      <c r="M38" s="18"/>
    </row>
    <row r="39" spans="1:13" x14ac:dyDescent="0.25">
      <c r="A39" s="26" t="s">
        <v>38</v>
      </c>
      <c r="B39" s="31">
        <v>0</v>
      </c>
      <c r="C39" s="31">
        <v>0</v>
      </c>
      <c r="D39" s="31">
        <v>0</v>
      </c>
      <c r="E39" s="27">
        <v>58004</v>
      </c>
      <c r="F39" s="27">
        <v>68108</v>
      </c>
      <c r="G39" s="27">
        <v>-1233</v>
      </c>
      <c r="H39" s="27">
        <v>53013514</v>
      </c>
      <c r="I39" s="27">
        <v>2853293</v>
      </c>
      <c r="J39" s="27">
        <v>1</v>
      </c>
      <c r="K39" s="31">
        <v>0</v>
      </c>
      <c r="L39" s="24"/>
      <c r="M39" s="18"/>
    </row>
    <row r="40" spans="1:13" x14ac:dyDescent="0.25">
      <c r="A40" s="26" t="s">
        <v>40</v>
      </c>
      <c r="B40" s="31">
        <v>0</v>
      </c>
      <c r="C40" s="31">
        <v>0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24"/>
      <c r="M40" s="18"/>
    </row>
    <row r="41" spans="1:13" x14ac:dyDescent="0.25">
      <c r="A41" s="26" t="s">
        <v>41</v>
      </c>
      <c r="B41" s="31">
        <v>0</v>
      </c>
      <c r="C41" s="31">
        <v>0</v>
      </c>
      <c r="D41" s="31">
        <v>0</v>
      </c>
      <c r="E41" s="27">
        <v>-6278614</v>
      </c>
      <c r="F41" s="31">
        <v>0</v>
      </c>
      <c r="G41" s="31">
        <v>0</v>
      </c>
      <c r="H41" s="27">
        <v>8186025</v>
      </c>
      <c r="I41" s="27">
        <v>40341215</v>
      </c>
      <c r="J41" s="27">
        <v>9</v>
      </c>
      <c r="K41" s="31">
        <v>0</v>
      </c>
      <c r="L41" s="24"/>
      <c r="M41" s="18"/>
    </row>
    <row r="42" spans="1:13" x14ac:dyDescent="0.25">
      <c r="A42" s="26" t="s">
        <v>42</v>
      </c>
      <c r="B42" s="27">
        <v>25705719</v>
      </c>
      <c r="C42" s="31">
        <v>0</v>
      </c>
      <c r="D42" s="27">
        <v>25705719</v>
      </c>
      <c r="E42" s="27">
        <v>-2414556</v>
      </c>
      <c r="F42" s="27">
        <v>-22901</v>
      </c>
      <c r="G42" s="31">
        <v>0</v>
      </c>
      <c r="H42" s="27">
        <v>1993703617</v>
      </c>
      <c r="I42" s="27">
        <v>569260654</v>
      </c>
      <c r="J42" s="27">
        <v>211</v>
      </c>
      <c r="K42" s="27">
        <v>1958131173</v>
      </c>
      <c r="L42" s="24"/>
      <c r="M42" s="18"/>
    </row>
    <row r="43" spans="1:13" x14ac:dyDescent="0.25">
      <c r="A43" s="26" t="s">
        <v>43</v>
      </c>
      <c r="B43" s="31">
        <v>0</v>
      </c>
      <c r="C43" s="31">
        <v>0</v>
      </c>
      <c r="D43" s="31">
        <v>0</v>
      </c>
      <c r="E43" s="31">
        <v>0</v>
      </c>
      <c r="F43" s="31">
        <v>0</v>
      </c>
      <c r="G43" s="31">
        <v>0</v>
      </c>
      <c r="H43" s="27">
        <v>103140</v>
      </c>
      <c r="I43" s="31">
        <v>0</v>
      </c>
      <c r="J43" s="31">
        <v>0</v>
      </c>
      <c r="K43" s="31">
        <v>0</v>
      </c>
      <c r="L43" s="24"/>
      <c r="M43" s="18"/>
    </row>
    <row r="44" spans="1:13" x14ac:dyDescent="0.25">
      <c r="A44" s="26" t="s">
        <v>1638</v>
      </c>
      <c r="B44" s="31">
        <v>0</v>
      </c>
      <c r="C44" s="31">
        <v>0</v>
      </c>
      <c r="D44" s="31">
        <v>0</v>
      </c>
      <c r="E44" s="31">
        <v>0</v>
      </c>
      <c r="F44" s="31">
        <v>0</v>
      </c>
      <c r="G44" s="31">
        <v>0</v>
      </c>
      <c r="H44" s="27">
        <v>870600</v>
      </c>
      <c r="I44" s="31">
        <v>0</v>
      </c>
      <c r="J44" s="31">
        <v>0</v>
      </c>
      <c r="K44" s="31">
        <v>0</v>
      </c>
      <c r="L44" s="24"/>
      <c r="M44" s="18"/>
    </row>
    <row r="45" spans="1:13" x14ac:dyDescent="0.25">
      <c r="A45" s="26" t="s">
        <v>44</v>
      </c>
      <c r="B45" s="27">
        <v>10223184668</v>
      </c>
      <c r="C45" s="27">
        <v>323591390</v>
      </c>
      <c r="D45" s="27">
        <v>10546776058</v>
      </c>
      <c r="E45" s="27">
        <v>325740893</v>
      </c>
      <c r="F45" s="27">
        <v>16786854</v>
      </c>
      <c r="G45" s="27">
        <v>12533126</v>
      </c>
      <c r="H45" s="27">
        <v>166374504</v>
      </c>
      <c r="I45" s="27">
        <v>-211454846</v>
      </c>
      <c r="J45" s="27">
        <v>197</v>
      </c>
      <c r="K45" s="27">
        <v>150329562</v>
      </c>
      <c r="L45" s="25" t="s">
        <v>1758</v>
      </c>
      <c r="M45" s="18"/>
    </row>
    <row r="46" spans="1:13" x14ac:dyDescent="0.25">
      <c r="A46" s="26" t="s">
        <v>45</v>
      </c>
      <c r="B46" s="27">
        <v>2162532290</v>
      </c>
      <c r="C46" s="27">
        <v>10223981698</v>
      </c>
      <c r="D46" s="27">
        <v>12386513988</v>
      </c>
      <c r="E46" s="27">
        <v>1412298125</v>
      </c>
      <c r="F46" s="27">
        <v>556532971</v>
      </c>
      <c r="G46" s="27">
        <v>570663078</v>
      </c>
      <c r="H46" s="27">
        <v>6606126686</v>
      </c>
      <c r="I46" s="27">
        <v>-16744144192</v>
      </c>
      <c r="J46" s="27">
        <v>46575</v>
      </c>
      <c r="K46" s="27">
        <v>12158080999</v>
      </c>
      <c r="L46" s="24"/>
      <c r="M46" s="18"/>
    </row>
    <row r="47" spans="1:13" x14ac:dyDescent="0.25">
      <c r="A47" s="26" t="s">
        <v>46</v>
      </c>
      <c r="B47" s="31">
        <v>0</v>
      </c>
      <c r="C47" s="31">
        <v>0</v>
      </c>
      <c r="D47" s="31">
        <v>0</v>
      </c>
      <c r="E47" s="27">
        <v>-1186158</v>
      </c>
      <c r="F47" s="27">
        <v>72019</v>
      </c>
      <c r="G47" s="27">
        <v>22992</v>
      </c>
      <c r="H47" s="27">
        <v>1906000</v>
      </c>
      <c r="I47" s="27">
        <v>-2708928</v>
      </c>
      <c r="J47" s="27">
        <v>4</v>
      </c>
      <c r="K47" s="31">
        <v>0</v>
      </c>
      <c r="L47" s="24"/>
      <c r="M47" s="18"/>
    </row>
    <row r="48" spans="1:13" x14ac:dyDescent="0.25">
      <c r="A48" s="26" t="s">
        <v>47</v>
      </c>
      <c r="B48" s="27">
        <v>231731.26331432399</v>
      </c>
      <c r="C48" s="27">
        <v>229936</v>
      </c>
      <c r="D48" s="27">
        <v>461667.26331432397</v>
      </c>
      <c r="E48" s="27">
        <v>373449</v>
      </c>
      <c r="F48" s="27">
        <v>-307964</v>
      </c>
      <c r="G48" s="27">
        <v>1694</v>
      </c>
      <c r="H48" s="27">
        <v>10516034</v>
      </c>
      <c r="I48" s="27">
        <v>124753179</v>
      </c>
      <c r="J48" s="31">
        <v>0</v>
      </c>
      <c r="K48" s="31">
        <v>0</v>
      </c>
      <c r="L48" s="24"/>
      <c r="M48" s="18"/>
    </row>
    <row r="49" spans="1:13" x14ac:dyDescent="0.25">
      <c r="A49" s="26" t="s">
        <v>19</v>
      </c>
      <c r="B49" s="27">
        <v>23171399</v>
      </c>
      <c r="C49" s="31">
        <v>0</v>
      </c>
      <c r="D49" s="27">
        <v>23171399</v>
      </c>
      <c r="E49" s="27">
        <v>880587</v>
      </c>
      <c r="F49" s="31">
        <v>0</v>
      </c>
      <c r="G49" s="31">
        <v>0</v>
      </c>
      <c r="H49" s="27">
        <v>162300</v>
      </c>
      <c r="I49" s="27">
        <v>4066047</v>
      </c>
      <c r="J49" s="27">
        <v>11</v>
      </c>
      <c r="K49" s="27">
        <v>5498266</v>
      </c>
      <c r="L49" s="24"/>
      <c r="M49" s="18"/>
    </row>
    <row r="50" spans="1:13" x14ac:dyDescent="0.25">
      <c r="A50" s="26" t="s">
        <v>48</v>
      </c>
      <c r="B50" s="31">
        <v>0</v>
      </c>
      <c r="C50" s="31">
        <v>0</v>
      </c>
      <c r="D50" s="31">
        <v>0</v>
      </c>
      <c r="E50" s="31">
        <v>0</v>
      </c>
      <c r="F50" s="31">
        <v>0</v>
      </c>
      <c r="G50" s="31">
        <v>0</v>
      </c>
      <c r="H50" s="27">
        <v>434600</v>
      </c>
      <c r="I50" s="31">
        <v>0</v>
      </c>
      <c r="J50" s="31">
        <v>0</v>
      </c>
      <c r="K50" s="31">
        <v>0</v>
      </c>
      <c r="L50" s="24"/>
      <c r="M50" s="18"/>
    </row>
    <row r="51" spans="1:13" x14ac:dyDescent="0.25">
      <c r="A51" s="26" t="s">
        <v>49</v>
      </c>
      <c r="B51" s="31">
        <v>0</v>
      </c>
      <c r="C51" s="31">
        <v>0</v>
      </c>
      <c r="D51" s="31">
        <v>0</v>
      </c>
      <c r="E51" s="31">
        <v>0</v>
      </c>
      <c r="F51" s="31">
        <v>0</v>
      </c>
      <c r="G51" s="31">
        <v>0</v>
      </c>
      <c r="H51" s="27">
        <v>27248</v>
      </c>
      <c r="I51" s="27">
        <v>-37096</v>
      </c>
      <c r="J51" s="27">
        <v>7</v>
      </c>
      <c r="K51" s="27">
        <v>40002</v>
      </c>
      <c r="L51" s="24"/>
      <c r="M51" s="18"/>
    </row>
    <row r="52" spans="1:13" x14ac:dyDescent="0.25">
      <c r="A52" s="26" t="s">
        <v>50</v>
      </c>
      <c r="B52" s="27">
        <v>4514105226</v>
      </c>
      <c r="C52" s="27">
        <v>3004269959</v>
      </c>
      <c r="D52" s="27">
        <v>7518375185</v>
      </c>
      <c r="E52" s="27">
        <v>617385009.7270509</v>
      </c>
      <c r="F52" s="27">
        <v>107782501</v>
      </c>
      <c r="G52" s="27">
        <v>113542492</v>
      </c>
      <c r="H52" s="27">
        <v>139943332228</v>
      </c>
      <c r="I52" s="27">
        <v>-15680522466</v>
      </c>
      <c r="J52" s="27">
        <v>1099</v>
      </c>
      <c r="K52" s="27">
        <v>528023392</v>
      </c>
      <c r="L52" s="25" t="s">
        <v>1760</v>
      </c>
      <c r="M52" s="18"/>
    </row>
    <row r="53" spans="1:13" x14ac:dyDescent="0.25">
      <c r="A53" s="26" t="s">
        <v>51</v>
      </c>
      <c r="B53" s="27">
        <v>129701544</v>
      </c>
      <c r="C53" s="27">
        <v>43410965</v>
      </c>
      <c r="D53" s="27">
        <v>173112509</v>
      </c>
      <c r="E53" s="27">
        <v>-9420801</v>
      </c>
      <c r="F53" s="27">
        <v>1223359</v>
      </c>
      <c r="G53" s="27">
        <v>2345853</v>
      </c>
      <c r="H53" s="27">
        <v>1261359852</v>
      </c>
      <c r="I53" s="27">
        <v>638168699</v>
      </c>
      <c r="J53" s="27">
        <v>126</v>
      </c>
      <c r="K53" s="27">
        <v>60118710</v>
      </c>
      <c r="L53" s="24"/>
      <c r="M53" s="18"/>
    </row>
    <row r="54" spans="1:13" x14ac:dyDescent="0.25">
      <c r="A54" s="26" t="s">
        <v>52</v>
      </c>
      <c r="B54" s="31">
        <v>0</v>
      </c>
      <c r="C54" s="27">
        <v>1804299</v>
      </c>
      <c r="D54" s="27">
        <v>1804299</v>
      </c>
      <c r="E54" s="27">
        <v>1804299</v>
      </c>
      <c r="F54" s="31">
        <v>0</v>
      </c>
      <c r="G54" s="31">
        <v>0</v>
      </c>
      <c r="H54" s="27">
        <v>6.9531399810000005</v>
      </c>
      <c r="I54" s="31">
        <v>0</v>
      </c>
      <c r="J54" s="31">
        <v>0</v>
      </c>
      <c r="K54" s="31">
        <v>0</v>
      </c>
      <c r="L54" s="24"/>
      <c r="M54" s="18"/>
    </row>
    <row r="55" spans="1:13" x14ac:dyDescent="0.25">
      <c r="A55" s="26" t="s">
        <v>12</v>
      </c>
      <c r="B55" s="31">
        <v>0</v>
      </c>
      <c r="C55" s="31">
        <v>0</v>
      </c>
      <c r="D55" s="31">
        <v>0</v>
      </c>
      <c r="E55" s="31">
        <v>0</v>
      </c>
      <c r="F55" s="31">
        <v>0</v>
      </c>
      <c r="G55" s="31">
        <v>0</v>
      </c>
      <c r="H55" s="31">
        <v>0</v>
      </c>
      <c r="I55" s="31">
        <v>0</v>
      </c>
      <c r="J55" s="31">
        <v>0</v>
      </c>
      <c r="K55" s="31">
        <v>0</v>
      </c>
      <c r="L55" s="24"/>
      <c r="M55" s="18"/>
    </row>
    <row r="56" spans="1:13" x14ac:dyDescent="0.25">
      <c r="A56" s="26" t="s">
        <v>53</v>
      </c>
      <c r="B56" s="31">
        <v>0</v>
      </c>
      <c r="C56" s="31">
        <v>0</v>
      </c>
      <c r="D56" s="31">
        <v>0</v>
      </c>
      <c r="E56" s="31">
        <v>0</v>
      </c>
      <c r="F56" s="31">
        <v>0</v>
      </c>
      <c r="G56" s="31">
        <v>0</v>
      </c>
      <c r="H56" s="27">
        <v>23422719.474000003</v>
      </c>
      <c r="I56" s="31">
        <v>0</v>
      </c>
      <c r="J56" s="31">
        <v>0</v>
      </c>
      <c r="K56" s="31">
        <v>0</v>
      </c>
      <c r="L56" s="24"/>
      <c r="M56" s="18"/>
    </row>
    <row r="57" spans="1:13" x14ac:dyDescent="0.25">
      <c r="A57" s="26" t="s">
        <v>54</v>
      </c>
      <c r="B57" s="27">
        <v>14286902</v>
      </c>
      <c r="C57" s="27">
        <v>145383220</v>
      </c>
      <c r="D57" s="27">
        <v>159670122</v>
      </c>
      <c r="E57" s="27">
        <v>56879454</v>
      </c>
      <c r="F57" s="27">
        <v>37954</v>
      </c>
      <c r="G57" s="27">
        <v>2618</v>
      </c>
      <c r="H57" s="27">
        <v>50000</v>
      </c>
      <c r="I57" s="27">
        <v>-87120240</v>
      </c>
      <c r="J57" s="27">
        <v>1142</v>
      </c>
      <c r="K57" s="27">
        <v>463184351</v>
      </c>
      <c r="L57" s="24"/>
      <c r="M57" s="18"/>
    </row>
    <row r="58" spans="1:13" x14ac:dyDescent="0.25">
      <c r="A58" s="4"/>
      <c r="B58" s="41">
        <f>SUM(B7:B57)</f>
        <v>28132545359.263313</v>
      </c>
      <c r="C58" s="41">
        <f t="shared" ref="C58:K58" si="0">SUM(C7:C57)</f>
        <v>24076981274</v>
      </c>
      <c r="D58" s="41">
        <f t="shared" si="0"/>
        <v>52209526632.263313</v>
      </c>
      <c r="E58" s="41">
        <f t="shared" si="0"/>
        <v>6613779601.7270508</v>
      </c>
      <c r="F58" s="41">
        <f t="shared" si="0"/>
        <v>1489123530</v>
      </c>
      <c r="G58" s="41">
        <f t="shared" si="0"/>
        <v>1799153347</v>
      </c>
      <c r="H58" s="41">
        <f t="shared" si="0"/>
        <v>209451126605.42712</v>
      </c>
      <c r="I58" s="41">
        <f t="shared" si="0"/>
        <v>-26824927584</v>
      </c>
      <c r="J58" s="41">
        <f t="shared" si="0"/>
        <v>64042.5</v>
      </c>
      <c r="K58" s="41">
        <f t="shared" si="0"/>
        <v>29253876646</v>
      </c>
      <c r="L58" s="14"/>
    </row>
    <row r="59" spans="1:13" x14ac:dyDescent="0.25">
      <c r="A59" s="4"/>
      <c r="B59" s="41">
        <f>+B58-'[1]Updated Version'!B59</f>
        <v>0.11331558227539063</v>
      </c>
      <c r="C59" s="41">
        <f>+C58-'[1]Updated Version'!C59</f>
        <v>-9.998321533203125E-3</v>
      </c>
      <c r="D59" s="41">
        <f>+D58-'[1]Updated Version'!D59</f>
        <v>0.1033172607421875</v>
      </c>
      <c r="E59" s="41">
        <f>+E58-'[1]Updated Version'!E59</f>
        <v>-0.27294921875</v>
      </c>
      <c r="F59" s="41">
        <f>+F58+'[1]Updated Version'!F59</f>
        <v>0</v>
      </c>
      <c r="G59" s="41">
        <f>+G58+'[1]Updated Version'!G59</f>
        <v>0</v>
      </c>
      <c r="H59" s="41">
        <f>+H58-'[1]Updated Version'!H59</f>
        <v>0.4271240234375</v>
      </c>
      <c r="I59" s="41">
        <f>+I58-'[1]Updated Version'!I59</f>
        <v>0</v>
      </c>
      <c r="J59" s="41">
        <f>+J58-'[1]Updated Version'!J59</f>
        <v>-0.5</v>
      </c>
      <c r="K59" s="41">
        <f>+K58-'[1]Updated Version'!K59</f>
        <v>0</v>
      </c>
    </row>
    <row r="60" spans="1:13" x14ac:dyDescent="0.25">
      <c r="A60" s="4"/>
    </row>
    <row r="61" spans="1:13" x14ac:dyDescent="0.25">
      <c r="A61" s="4"/>
    </row>
    <row r="62" spans="1:13" x14ac:dyDescent="0.25">
      <c r="A62" s="4"/>
    </row>
    <row r="63" spans="1:13" x14ac:dyDescent="0.25">
      <c r="A63" s="4"/>
    </row>
    <row r="64" spans="1:13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ht="45.75" customHeight="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hidden="1" x14ac:dyDescent="0.25">
      <c r="A117" s="4"/>
    </row>
    <row r="118" spans="1:1" hidden="1" x14ac:dyDescent="0.25">
      <c r="A118" s="4"/>
    </row>
    <row r="119" spans="1:1" hidden="1" x14ac:dyDescent="0.25">
      <c r="A119" s="4"/>
    </row>
    <row r="120" spans="1:1" hidden="1" x14ac:dyDescent="0.25">
      <c r="A120" s="4"/>
    </row>
    <row r="121" spans="1:1" x14ac:dyDescent="0.25">
      <c r="A121" s="4"/>
    </row>
    <row r="122" spans="1:1" hidden="1" x14ac:dyDescent="0.25">
      <c r="A122" s="4"/>
    </row>
    <row r="123" spans="1:1" hidden="1" x14ac:dyDescent="0.25">
      <c r="A123" s="4"/>
    </row>
    <row r="124" spans="1:1" hidden="1" x14ac:dyDescent="0.25">
      <c r="A124" s="4"/>
    </row>
    <row r="125" spans="1:1" hidden="1" x14ac:dyDescent="0.25">
      <c r="A125" s="4"/>
    </row>
    <row r="126" spans="1:1" hidden="1" x14ac:dyDescent="0.25">
      <c r="A126" s="4"/>
    </row>
    <row r="127" spans="1:1" hidden="1" x14ac:dyDescent="0.25">
      <c r="A127" s="4"/>
    </row>
    <row r="128" spans="1:1" hidden="1" x14ac:dyDescent="0.25">
      <c r="A128" s="4"/>
    </row>
    <row r="129" spans="1:1" hidden="1" x14ac:dyDescent="0.25">
      <c r="A129" s="4"/>
    </row>
    <row r="130" spans="1:1" hidden="1" x14ac:dyDescent="0.25">
      <c r="A130" s="4"/>
    </row>
    <row r="131" spans="1:1" hidden="1" x14ac:dyDescent="0.25">
      <c r="A131" s="4"/>
    </row>
    <row r="132" spans="1:1" hidden="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hidden="1" x14ac:dyDescent="0.25">
      <c r="A136" s="4"/>
    </row>
    <row r="137" spans="1:1" hidden="1" x14ac:dyDescent="0.25">
      <c r="A137" s="4"/>
    </row>
    <row r="138" spans="1:1" hidden="1" x14ac:dyDescent="0.25">
      <c r="A138" s="4"/>
    </row>
    <row r="139" spans="1:1" hidden="1" x14ac:dyDescent="0.25">
      <c r="A139" s="4"/>
    </row>
    <row r="140" spans="1:1" hidden="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</sheetData>
  <sortState xmlns:xlrd2="http://schemas.microsoft.com/office/spreadsheetml/2017/richdata2" ref="A8:K57">
    <sortCondition ref="A8:A57"/>
  </sortState>
  <mergeCells count="9">
    <mergeCell ref="I5:I6"/>
    <mergeCell ref="J5:J6"/>
    <mergeCell ref="K5:K6"/>
    <mergeCell ref="A5:A6"/>
    <mergeCell ref="B5:D5"/>
    <mergeCell ref="E5:E6"/>
    <mergeCell ref="H5:H6"/>
    <mergeCell ref="F5:F6"/>
    <mergeCell ref="G5:G6"/>
  </mergeCells>
  <dataValidations count="2">
    <dataValidation type="list" allowBlank="1" showInputMessage="1" showErrorMessage="1" sqref="A3" xr:uid="{00000000-0002-0000-0000-000000000000}">
      <formula1>ListCurrencyCode</formula1>
    </dataValidation>
    <dataValidation type="list" allowBlank="1" showInputMessage="1" showErrorMessage="1" sqref="A58:A1048576" xr:uid="{00000000-0002-0000-0000-000001000000}">
      <formula1>ListCountryName</formula1>
    </dataValidation>
  </dataValidations>
  <pageMargins left="0.7" right="0.7" top="0.75" bottom="0.75" header="0.3" footer="0.3"/>
  <pageSetup paperSize="9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U443"/>
  <sheetViews>
    <sheetView showGridLines="0" zoomScale="85" zoomScaleNormal="85" workbookViewId="0"/>
  </sheetViews>
  <sheetFormatPr defaultRowHeight="15" x14ac:dyDescent="0.25"/>
  <cols>
    <col min="1" max="1" width="37.28515625" customWidth="1"/>
    <col min="2" max="2" width="66.42578125" bestFit="1" customWidth="1"/>
    <col min="3" max="3" width="17.140625" style="32" customWidth="1"/>
    <col min="4" max="10" width="14.7109375" style="32" customWidth="1"/>
    <col min="11" max="13" width="9.140625" style="32"/>
    <col min="14" max="14" width="11.5703125" style="32" customWidth="1"/>
    <col min="15" max="15" width="9.140625" style="32"/>
    <col min="16" max="16" width="35.5703125" style="32" customWidth="1"/>
    <col min="17" max="17" width="9.140625" style="7"/>
    <col min="18" max="46" width="9.140625" style="8"/>
    <col min="47" max="47" width="9.140625" style="9"/>
  </cols>
  <sheetData>
    <row r="1" spans="1:16" x14ac:dyDescent="0.25">
      <c r="A1" s="11" t="s">
        <v>1764</v>
      </c>
    </row>
    <row r="3" spans="1:16" ht="14.25" customHeight="1" x14ac:dyDescent="0.25">
      <c r="A3" s="47" t="s">
        <v>1761</v>
      </c>
      <c r="B3" s="47" t="s">
        <v>1762</v>
      </c>
      <c r="C3" s="49" t="s">
        <v>1763</v>
      </c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34"/>
    </row>
    <row r="4" spans="1:16" ht="86.25" thickBot="1" x14ac:dyDescent="0.3">
      <c r="A4" s="48"/>
      <c r="B4" s="48"/>
      <c r="C4" s="33" t="s">
        <v>55</v>
      </c>
      <c r="D4" s="33" t="s">
        <v>56</v>
      </c>
      <c r="E4" s="33" t="s">
        <v>57</v>
      </c>
      <c r="F4" s="33" t="s">
        <v>58</v>
      </c>
      <c r="G4" s="33" t="s">
        <v>59</v>
      </c>
      <c r="H4" s="33" t="s">
        <v>60</v>
      </c>
      <c r="I4" s="33" t="s">
        <v>61</v>
      </c>
      <c r="J4" s="33" t="s">
        <v>62</v>
      </c>
      <c r="K4" s="33" t="s">
        <v>63</v>
      </c>
      <c r="L4" s="33" t="s">
        <v>64</v>
      </c>
      <c r="M4" s="33" t="s">
        <v>65</v>
      </c>
      <c r="N4" s="33" t="s">
        <v>66</v>
      </c>
      <c r="O4" s="33" t="s">
        <v>67</v>
      </c>
      <c r="P4" s="33" t="s">
        <v>68</v>
      </c>
    </row>
    <row r="5" spans="1:16" x14ac:dyDescent="0.25">
      <c r="A5" t="s">
        <v>5</v>
      </c>
      <c r="B5" t="s">
        <v>1725</v>
      </c>
      <c r="M5" s="32" t="s">
        <v>105</v>
      </c>
    </row>
    <row r="6" spans="1:16" x14ac:dyDescent="0.25">
      <c r="A6" t="s">
        <v>5</v>
      </c>
      <c r="B6" t="s">
        <v>1730</v>
      </c>
      <c r="H6" s="32" t="s">
        <v>105</v>
      </c>
    </row>
    <row r="7" spans="1:16" x14ac:dyDescent="0.25">
      <c r="A7" t="s">
        <v>5</v>
      </c>
      <c r="B7" t="s">
        <v>350</v>
      </c>
      <c r="H7" s="32" t="s">
        <v>105</v>
      </c>
      <c r="M7" s="32" t="s">
        <v>105</v>
      </c>
    </row>
    <row r="8" spans="1:16" x14ac:dyDescent="0.25">
      <c r="A8" t="s">
        <v>6</v>
      </c>
      <c r="B8" t="s">
        <v>457</v>
      </c>
      <c r="M8" s="32" t="s">
        <v>105</v>
      </c>
    </row>
    <row r="9" spans="1:16" x14ac:dyDescent="0.25">
      <c r="A9" t="s">
        <v>7</v>
      </c>
      <c r="B9" t="s">
        <v>148</v>
      </c>
      <c r="J9" s="32" t="s">
        <v>105</v>
      </c>
    </row>
    <row r="10" spans="1:16" x14ac:dyDescent="0.25">
      <c r="A10" t="s">
        <v>7</v>
      </c>
      <c r="B10" t="s">
        <v>1722</v>
      </c>
      <c r="D10" s="32" t="s">
        <v>105</v>
      </c>
    </row>
    <row r="11" spans="1:16" x14ac:dyDescent="0.25">
      <c r="A11" t="s">
        <v>7</v>
      </c>
      <c r="B11" t="s">
        <v>150</v>
      </c>
      <c r="F11" s="32" t="s">
        <v>105</v>
      </c>
      <c r="M11" s="32" t="s">
        <v>105</v>
      </c>
    </row>
    <row r="12" spans="1:16" x14ac:dyDescent="0.25">
      <c r="A12" t="s">
        <v>7</v>
      </c>
      <c r="B12" t="s">
        <v>176</v>
      </c>
      <c r="H12" s="32" t="s">
        <v>105</v>
      </c>
      <c r="O12" s="32" t="s">
        <v>105</v>
      </c>
      <c r="P12" s="32" t="s">
        <v>115</v>
      </c>
    </row>
    <row r="13" spans="1:16" x14ac:dyDescent="0.25">
      <c r="A13" t="s">
        <v>7</v>
      </c>
      <c r="B13" t="s">
        <v>219</v>
      </c>
      <c r="M13" s="32" t="s">
        <v>105</v>
      </c>
    </row>
    <row r="14" spans="1:16" x14ac:dyDescent="0.25">
      <c r="A14" t="s">
        <v>7</v>
      </c>
      <c r="B14" t="s">
        <v>220</v>
      </c>
      <c r="M14" s="32" t="s">
        <v>105</v>
      </c>
    </row>
    <row r="15" spans="1:16" x14ac:dyDescent="0.25">
      <c r="A15" t="s">
        <v>7</v>
      </c>
      <c r="B15" t="s">
        <v>221</v>
      </c>
      <c r="J15" s="32" t="s">
        <v>105</v>
      </c>
    </row>
    <row r="16" spans="1:16" x14ac:dyDescent="0.25">
      <c r="A16" t="s">
        <v>7</v>
      </c>
      <c r="B16" t="s">
        <v>222</v>
      </c>
      <c r="M16" s="32" t="s">
        <v>105</v>
      </c>
    </row>
    <row r="17" spans="1:16" x14ac:dyDescent="0.25">
      <c r="A17" t="s">
        <v>7</v>
      </c>
      <c r="B17" t="s">
        <v>223</v>
      </c>
      <c r="C17" s="32" t="s">
        <v>105</v>
      </c>
      <c r="G17" s="32" t="s">
        <v>105</v>
      </c>
      <c r="H17" s="32" t="s">
        <v>105</v>
      </c>
      <c r="M17" s="32" t="s">
        <v>105</v>
      </c>
    </row>
    <row r="18" spans="1:16" x14ac:dyDescent="0.25">
      <c r="A18" t="s">
        <v>7</v>
      </c>
      <c r="B18" t="s">
        <v>253</v>
      </c>
      <c r="E18" s="32" t="s">
        <v>105</v>
      </c>
      <c r="H18" s="32" t="s">
        <v>105</v>
      </c>
    </row>
    <row r="19" spans="1:16" x14ac:dyDescent="0.25">
      <c r="A19" t="s">
        <v>7</v>
      </c>
      <c r="B19" t="s">
        <v>261</v>
      </c>
      <c r="N19" s="32" t="s">
        <v>105</v>
      </c>
    </row>
    <row r="20" spans="1:16" x14ac:dyDescent="0.25">
      <c r="A20" t="s">
        <v>7</v>
      </c>
      <c r="B20" t="s">
        <v>262</v>
      </c>
      <c r="C20" s="32" t="s">
        <v>105</v>
      </c>
      <c r="E20" s="32" t="s">
        <v>105</v>
      </c>
      <c r="F20" s="32" t="s">
        <v>105</v>
      </c>
      <c r="H20" s="32" t="s">
        <v>105</v>
      </c>
    </row>
    <row r="21" spans="1:16" x14ac:dyDescent="0.25">
      <c r="A21" t="s">
        <v>7</v>
      </c>
      <c r="B21" t="s">
        <v>263</v>
      </c>
      <c r="C21" s="32" t="s">
        <v>105</v>
      </c>
      <c r="E21" s="32" t="s">
        <v>105</v>
      </c>
      <c r="F21" s="32" t="s">
        <v>105</v>
      </c>
      <c r="H21" s="32" t="s">
        <v>105</v>
      </c>
    </row>
    <row r="22" spans="1:16" x14ac:dyDescent="0.25">
      <c r="A22" t="s">
        <v>7</v>
      </c>
      <c r="B22" t="s">
        <v>264</v>
      </c>
      <c r="G22" s="32" t="s">
        <v>105</v>
      </c>
      <c r="O22" s="32" t="s">
        <v>105</v>
      </c>
      <c r="P22" s="32" t="s">
        <v>265</v>
      </c>
    </row>
    <row r="23" spans="1:16" x14ac:dyDescent="0.25">
      <c r="A23" t="s">
        <v>7</v>
      </c>
      <c r="B23" t="s">
        <v>266</v>
      </c>
      <c r="H23" s="32" t="s">
        <v>105</v>
      </c>
    </row>
    <row r="24" spans="1:16" x14ac:dyDescent="0.25">
      <c r="A24" t="s">
        <v>7</v>
      </c>
      <c r="B24" t="s">
        <v>267</v>
      </c>
      <c r="H24" s="32" t="s">
        <v>105</v>
      </c>
    </row>
    <row r="25" spans="1:16" x14ac:dyDescent="0.25">
      <c r="A25" t="s">
        <v>7</v>
      </c>
      <c r="B25" t="s">
        <v>268</v>
      </c>
      <c r="M25" s="32" t="s">
        <v>105</v>
      </c>
    </row>
    <row r="26" spans="1:16" x14ac:dyDescent="0.25">
      <c r="A26" t="s">
        <v>7</v>
      </c>
      <c r="B26" t="s">
        <v>269</v>
      </c>
      <c r="M26" s="32" t="s">
        <v>105</v>
      </c>
    </row>
    <row r="27" spans="1:16" x14ac:dyDescent="0.25">
      <c r="A27" t="s">
        <v>7</v>
      </c>
      <c r="B27" t="s">
        <v>270</v>
      </c>
      <c r="C27" s="32" t="s">
        <v>105</v>
      </c>
      <c r="E27" s="32" t="s">
        <v>105</v>
      </c>
      <c r="F27" s="32" t="s">
        <v>105</v>
      </c>
      <c r="G27" s="32" t="s">
        <v>105</v>
      </c>
      <c r="H27" s="32" t="s">
        <v>105</v>
      </c>
      <c r="M27" s="32" t="s">
        <v>105</v>
      </c>
      <c r="O27" s="32" t="s">
        <v>105</v>
      </c>
      <c r="P27" s="32" t="s">
        <v>1777</v>
      </c>
    </row>
    <row r="28" spans="1:16" x14ac:dyDescent="0.25">
      <c r="A28" t="s">
        <v>7</v>
      </c>
      <c r="B28" t="s">
        <v>271</v>
      </c>
      <c r="H28" s="32" t="s">
        <v>105</v>
      </c>
      <c r="O28" s="32" t="s">
        <v>105</v>
      </c>
      <c r="P28" s="32" t="s">
        <v>265</v>
      </c>
    </row>
    <row r="29" spans="1:16" x14ac:dyDescent="0.25">
      <c r="A29" t="s">
        <v>7</v>
      </c>
      <c r="B29" t="s">
        <v>272</v>
      </c>
      <c r="C29" s="32" t="s">
        <v>105</v>
      </c>
      <c r="E29" s="32" t="s">
        <v>105</v>
      </c>
      <c r="F29" s="32" t="s">
        <v>105</v>
      </c>
      <c r="H29" s="32" t="s">
        <v>105</v>
      </c>
    </row>
    <row r="30" spans="1:16" x14ac:dyDescent="0.25">
      <c r="A30" t="s">
        <v>7</v>
      </c>
      <c r="B30" t="s">
        <v>273</v>
      </c>
      <c r="C30" s="32" t="s">
        <v>105</v>
      </c>
      <c r="E30" s="32" t="s">
        <v>105</v>
      </c>
      <c r="F30" s="32" t="s">
        <v>105</v>
      </c>
      <c r="G30" s="32" t="s">
        <v>105</v>
      </c>
      <c r="H30" s="32" t="s">
        <v>105</v>
      </c>
      <c r="M30" s="32" t="s">
        <v>105</v>
      </c>
    </row>
    <row r="31" spans="1:16" x14ac:dyDescent="0.25">
      <c r="A31" t="s">
        <v>7</v>
      </c>
      <c r="B31" t="s">
        <v>274</v>
      </c>
      <c r="M31" s="32" t="s">
        <v>105</v>
      </c>
    </row>
    <row r="32" spans="1:16" x14ac:dyDescent="0.25">
      <c r="A32" t="s">
        <v>7</v>
      </c>
      <c r="B32" t="s">
        <v>275</v>
      </c>
      <c r="M32" s="32" t="s">
        <v>105</v>
      </c>
    </row>
    <row r="33" spans="1:16" x14ac:dyDescent="0.25">
      <c r="A33" t="s">
        <v>7</v>
      </c>
      <c r="B33" t="s">
        <v>276</v>
      </c>
      <c r="C33" s="32" t="s">
        <v>105</v>
      </c>
      <c r="E33" s="32" t="s">
        <v>105</v>
      </c>
      <c r="F33" s="32" t="s">
        <v>105</v>
      </c>
      <c r="H33" s="32" t="s">
        <v>105</v>
      </c>
    </row>
    <row r="34" spans="1:16" x14ac:dyDescent="0.25">
      <c r="A34" t="s">
        <v>7</v>
      </c>
      <c r="B34" t="s">
        <v>277</v>
      </c>
      <c r="E34" s="32" t="s">
        <v>105</v>
      </c>
      <c r="G34" s="32" t="s">
        <v>105</v>
      </c>
    </row>
    <row r="35" spans="1:16" x14ac:dyDescent="0.25">
      <c r="A35" t="s">
        <v>7</v>
      </c>
      <c r="B35" t="s">
        <v>278</v>
      </c>
      <c r="E35" s="32" t="s">
        <v>105</v>
      </c>
      <c r="O35" s="32" t="s">
        <v>105</v>
      </c>
      <c r="P35" s="32" t="s">
        <v>1777</v>
      </c>
    </row>
    <row r="36" spans="1:16" x14ac:dyDescent="0.25">
      <c r="A36" t="s">
        <v>7</v>
      </c>
      <c r="B36" t="s">
        <v>291</v>
      </c>
      <c r="M36" s="32" t="s">
        <v>105</v>
      </c>
    </row>
    <row r="37" spans="1:16" x14ac:dyDescent="0.25">
      <c r="A37" t="s">
        <v>7</v>
      </c>
      <c r="B37" t="s">
        <v>329</v>
      </c>
      <c r="H37" s="32" t="s">
        <v>105</v>
      </c>
      <c r="O37" s="32" t="s">
        <v>105</v>
      </c>
      <c r="P37" s="32" t="s">
        <v>265</v>
      </c>
    </row>
    <row r="38" spans="1:16" x14ac:dyDescent="0.25">
      <c r="A38" t="s">
        <v>7</v>
      </c>
      <c r="B38" t="s">
        <v>330</v>
      </c>
      <c r="N38" s="32" t="s">
        <v>105</v>
      </c>
    </row>
    <row r="39" spans="1:16" x14ac:dyDescent="0.25">
      <c r="A39" t="s">
        <v>7</v>
      </c>
      <c r="B39" t="s">
        <v>331</v>
      </c>
      <c r="G39" s="32" t="s">
        <v>105</v>
      </c>
    </row>
    <row r="40" spans="1:16" x14ac:dyDescent="0.25">
      <c r="A40" t="s">
        <v>7</v>
      </c>
      <c r="B40" t="s">
        <v>332</v>
      </c>
      <c r="G40" s="32" t="s">
        <v>105</v>
      </c>
    </row>
    <row r="41" spans="1:16" x14ac:dyDescent="0.25">
      <c r="A41" t="s">
        <v>7</v>
      </c>
      <c r="B41" t="s">
        <v>344</v>
      </c>
      <c r="H41" s="32" t="s">
        <v>105</v>
      </c>
      <c r="O41" s="32" t="s">
        <v>105</v>
      </c>
      <c r="P41" s="32" t="s">
        <v>115</v>
      </c>
    </row>
    <row r="42" spans="1:16" x14ac:dyDescent="0.25">
      <c r="A42" t="s">
        <v>7</v>
      </c>
      <c r="B42" t="s">
        <v>421</v>
      </c>
      <c r="G42" s="32" t="s">
        <v>105</v>
      </c>
    </row>
    <row r="43" spans="1:16" x14ac:dyDescent="0.25">
      <c r="A43" t="s">
        <v>7</v>
      </c>
      <c r="B43" t="s">
        <v>422</v>
      </c>
      <c r="G43" s="32" t="s">
        <v>105</v>
      </c>
    </row>
    <row r="44" spans="1:16" x14ac:dyDescent="0.25">
      <c r="A44" t="s">
        <v>7</v>
      </c>
      <c r="B44" t="s">
        <v>438</v>
      </c>
      <c r="M44" s="32" t="s">
        <v>105</v>
      </c>
    </row>
    <row r="45" spans="1:16" x14ac:dyDescent="0.25">
      <c r="A45" t="s">
        <v>7</v>
      </c>
      <c r="B45" t="s">
        <v>466</v>
      </c>
      <c r="N45" s="32" t="s">
        <v>105</v>
      </c>
    </row>
    <row r="46" spans="1:16" x14ac:dyDescent="0.25">
      <c r="A46" t="s">
        <v>7</v>
      </c>
      <c r="B46" t="s">
        <v>467</v>
      </c>
      <c r="C46" s="32" t="s">
        <v>105</v>
      </c>
      <c r="E46" s="32" t="s">
        <v>105</v>
      </c>
      <c r="F46" s="32" t="s">
        <v>105</v>
      </c>
      <c r="G46" s="32" t="s">
        <v>105</v>
      </c>
      <c r="M46" s="32" t="s">
        <v>105</v>
      </c>
    </row>
    <row r="47" spans="1:16" x14ac:dyDescent="0.25">
      <c r="A47" t="s">
        <v>7</v>
      </c>
      <c r="B47" t="s">
        <v>468</v>
      </c>
      <c r="G47" s="32" t="s">
        <v>105</v>
      </c>
    </row>
    <row r="48" spans="1:16" x14ac:dyDescent="0.25">
      <c r="A48" t="s">
        <v>7</v>
      </c>
      <c r="B48" t="s">
        <v>1740</v>
      </c>
      <c r="M48" s="32" t="s">
        <v>105</v>
      </c>
    </row>
    <row r="49" spans="1:16" x14ac:dyDescent="0.25">
      <c r="A49" t="s">
        <v>7</v>
      </c>
      <c r="B49" t="s">
        <v>1741</v>
      </c>
      <c r="H49" s="32" t="s">
        <v>105</v>
      </c>
    </row>
    <row r="50" spans="1:16" x14ac:dyDescent="0.25">
      <c r="A50" t="s">
        <v>7</v>
      </c>
      <c r="B50" t="s">
        <v>469</v>
      </c>
      <c r="C50" s="32" t="s">
        <v>105</v>
      </c>
      <c r="E50" s="32" t="s">
        <v>105</v>
      </c>
      <c r="F50" s="32" t="s">
        <v>105</v>
      </c>
      <c r="G50" s="32" t="s">
        <v>105</v>
      </c>
      <c r="M50" s="32" t="s">
        <v>105</v>
      </c>
    </row>
    <row r="51" spans="1:16" x14ac:dyDescent="0.25">
      <c r="A51" t="s">
        <v>8</v>
      </c>
      <c r="B51" t="s">
        <v>337</v>
      </c>
      <c r="H51" s="32" t="s">
        <v>105</v>
      </c>
    </row>
    <row r="52" spans="1:16" x14ac:dyDescent="0.25">
      <c r="A52" t="s">
        <v>8</v>
      </c>
      <c r="B52" t="s">
        <v>433</v>
      </c>
      <c r="G52" s="32" t="s">
        <v>105</v>
      </c>
      <c r="H52" s="32" t="s">
        <v>105</v>
      </c>
    </row>
    <row r="53" spans="1:16" x14ac:dyDescent="0.25">
      <c r="A53" t="s">
        <v>8</v>
      </c>
      <c r="B53" t="s">
        <v>376</v>
      </c>
      <c r="N53" s="32" t="s">
        <v>105</v>
      </c>
    </row>
    <row r="54" spans="1:16" x14ac:dyDescent="0.25">
      <c r="A54" t="s">
        <v>9</v>
      </c>
      <c r="B54" t="s">
        <v>327</v>
      </c>
      <c r="L54" s="32" t="s">
        <v>105</v>
      </c>
      <c r="M54" s="32" t="s">
        <v>105</v>
      </c>
    </row>
    <row r="55" spans="1:16" x14ac:dyDescent="0.25">
      <c r="A55" t="s">
        <v>9</v>
      </c>
      <c r="B55" t="s">
        <v>425</v>
      </c>
      <c r="L55" s="32" t="s">
        <v>105</v>
      </c>
    </row>
    <row r="56" spans="1:16" x14ac:dyDescent="0.25">
      <c r="A56" t="s">
        <v>10</v>
      </c>
      <c r="B56" t="s">
        <v>129</v>
      </c>
      <c r="N56" s="32" t="s">
        <v>105</v>
      </c>
    </row>
    <row r="57" spans="1:16" x14ac:dyDescent="0.25">
      <c r="A57" t="s">
        <v>10</v>
      </c>
      <c r="B57" t="s">
        <v>168</v>
      </c>
      <c r="H57" s="32" t="s">
        <v>105</v>
      </c>
    </row>
    <row r="58" spans="1:16" x14ac:dyDescent="0.25">
      <c r="A58" t="s">
        <v>10</v>
      </c>
      <c r="B58" t="s">
        <v>279</v>
      </c>
      <c r="N58" s="32" t="s">
        <v>105</v>
      </c>
    </row>
    <row r="59" spans="1:16" x14ac:dyDescent="0.25">
      <c r="A59" t="s">
        <v>10</v>
      </c>
      <c r="B59" t="s">
        <v>354</v>
      </c>
      <c r="G59" s="32" t="s">
        <v>105</v>
      </c>
    </row>
    <row r="60" spans="1:16" x14ac:dyDescent="0.25">
      <c r="A60" t="s">
        <v>10</v>
      </c>
      <c r="B60" t="s">
        <v>355</v>
      </c>
      <c r="O60" s="32" t="s">
        <v>105</v>
      </c>
      <c r="P60" s="32" t="s">
        <v>115</v>
      </c>
    </row>
    <row r="61" spans="1:16" x14ac:dyDescent="0.25">
      <c r="A61" t="s">
        <v>10</v>
      </c>
      <c r="B61" t="s">
        <v>372</v>
      </c>
      <c r="H61" s="32" t="s">
        <v>105</v>
      </c>
    </row>
    <row r="62" spans="1:16" x14ac:dyDescent="0.25">
      <c r="A62" t="s">
        <v>10</v>
      </c>
      <c r="B62" t="s">
        <v>373</v>
      </c>
      <c r="F62" s="32" t="s">
        <v>105</v>
      </c>
    </row>
    <row r="63" spans="1:16" x14ac:dyDescent="0.25">
      <c r="A63" t="s">
        <v>10</v>
      </c>
      <c r="B63" t="s">
        <v>375</v>
      </c>
      <c r="G63" s="32" t="s">
        <v>105</v>
      </c>
    </row>
    <row r="64" spans="1:16" x14ac:dyDescent="0.25">
      <c r="A64" t="s">
        <v>10</v>
      </c>
      <c r="B64" t="s">
        <v>538</v>
      </c>
      <c r="H64" s="32" t="s">
        <v>105</v>
      </c>
      <c r="M64" s="32" t="s">
        <v>105</v>
      </c>
    </row>
    <row r="65" spans="1:16" x14ac:dyDescent="0.25">
      <c r="A65" t="s">
        <v>11</v>
      </c>
      <c r="B65" t="s">
        <v>210</v>
      </c>
      <c r="M65" s="32" t="s">
        <v>105</v>
      </c>
    </row>
    <row r="66" spans="1:16" x14ac:dyDescent="0.25">
      <c r="A66" t="s">
        <v>11</v>
      </c>
      <c r="B66" t="s">
        <v>228</v>
      </c>
      <c r="C66" s="32" t="s">
        <v>105</v>
      </c>
      <c r="F66" s="32" t="s">
        <v>105</v>
      </c>
      <c r="H66" s="32" t="s">
        <v>105</v>
      </c>
      <c r="M66" s="32" t="s">
        <v>105</v>
      </c>
    </row>
    <row r="67" spans="1:16" x14ac:dyDescent="0.25">
      <c r="A67" t="s">
        <v>11</v>
      </c>
      <c r="B67" t="s">
        <v>231</v>
      </c>
      <c r="C67" s="32" t="s">
        <v>105</v>
      </c>
      <c r="F67" s="32" t="s">
        <v>105</v>
      </c>
      <c r="H67" s="32" t="s">
        <v>105</v>
      </c>
      <c r="K67" s="32" t="s">
        <v>105</v>
      </c>
      <c r="M67" s="32" t="s">
        <v>105</v>
      </c>
    </row>
    <row r="68" spans="1:16" x14ac:dyDescent="0.25">
      <c r="A68" t="s">
        <v>11</v>
      </c>
      <c r="B68" t="s">
        <v>232</v>
      </c>
      <c r="M68" s="32" t="s">
        <v>105</v>
      </c>
    </row>
    <row r="69" spans="1:16" x14ac:dyDescent="0.25">
      <c r="A69" t="s">
        <v>11</v>
      </c>
      <c r="B69" t="s">
        <v>288</v>
      </c>
      <c r="F69" s="32" t="s">
        <v>105</v>
      </c>
      <c r="M69" s="32" t="s">
        <v>105</v>
      </c>
      <c r="N69" s="32" t="s">
        <v>105</v>
      </c>
    </row>
    <row r="70" spans="1:16" x14ac:dyDescent="0.25">
      <c r="A70" t="s">
        <v>11</v>
      </c>
      <c r="B70" t="s">
        <v>1724</v>
      </c>
      <c r="N70" s="32" t="s">
        <v>105</v>
      </c>
    </row>
    <row r="71" spans="1:16" x14ac:dyDescent="0.25">
      <c r="A71" t="s">
        <v>11</v>
      </c>
      <c r="B71" t="s">
        <v>395</v>
      </c>
      <c r="H71" s="32" t="s">
        <v>105</v>
      </c>
    </row>
    <row r="72" spans="1:16" x14ac:dyDescent="0.25">
      <c r="A72" t="s">
        <v>11</v>
      </c>
      <c r="B72" t="s">
        <v>413</v>
      </c>
      <c r="F72" s="32" t="s">
        <v>105</v>
      </c>
      <c r="H72" s="32" t="s">
        <v>105</v>
      </c>
      <c r="M72" s="32" t="s">
        <v>105</v>
      </c>
    </row>
    <row r="73" spans="1:16" x14ac:dyDescent="0.25">
      <c r="A73" t="s">
        <v>11</v>
      </c>
      <c r="B73" t="s">
        <v>431</v>
      </c>
      <c r="O73" s="32" t="s">
        <v>105</v>
      </c>
      <c r="P73" s="32" t="s">
        <v>432</v>
      </c>
    </row>
    <row r="74" spans="1:16" x14ac:dyDescent="0.25">
      <c r="A74" t="s">
        <v>11</v>
      </c>
      <c r="B74" t="s">
        <v>461</v>
      </c>
      <c r="C74" s="32" t="s">
        <v>105</v>
      </c>
      <c r="M74" s="32" t="s">
        <v>105</v>
      </c>
    </row>
    <row r="75" spans="1:16" x14ac:dyDescent="0.25">
      <c r="A75" t="s">
        <v>11</v>
      </c>
      <c r="B75" t="s">
        <v>460</v>
      </c>
      <c r="F75" s="32" t="s">
        <v>105</v>
      </c>
      <c r="H75" s="32" t="s">
        <v>105</v>
      </c>
    </row>
    <row r="76" spans="1:16" x14ac:dyDescent="0.25">
      <c r="A76" t="s">
        <v>13</v>
      </c>
      <c r="B76" t="s">
        <v>103</v>
      </c>
      <c r="N76" s="32" t="s">
        <v>105</v>
      </c>
    </row>
    <row r="77" spans="1:16" x14ac:dyDescent="0.25">
      <c r="A77" t="s">
        <v>13</v>
      </c>
      <c r="B77" t="s">
        <v>177</v>
      </c>
      <c r="O77" s="32" t="s">
        <v>105</v>
      </c>
      <c r="P77" s="32" t="s">
        <v>178</v>
      </c>
    </row>
    <row r="78" spans="1:16" x14ac:dyDescent="0.25">
      <c r="A78" t="s">
        <v>13</v>
      </c>
      <c r="B78" t="s">
        <v>346</v>
      </c>
      <c r="M78" s="32" t="s">
        <v>105</v>
      </c>
    </row>
    <row r="79" spans="1:16" x14ac:dyDescent="0.25">
      <c r="A79" t="s">
        <v>13</v>
      </c>
      <c r="B79" t="s">
        <v>1726</v>
      </c>
      <c r="M79" s="32" t="s">
        <v>105</v>
      </c>
    </row>
    <row r="80" spans="1:16" x14ac:dyDescent="0.25">
      <c r="A80" t="s">
        <v>13</v>
      </c>
      <c r="B80" t="s">
        <v>1727</v>
      </c>
      <c r="D80" s="32" t="s">
        <v>105</v>
      </c>
    </row>
    <row r="81" spans="1:16" x14ac:dyDescent="0.25">
      <c r="A81" t="s">
        <v>13</v>
      </c>
      <c r="B81" t="s">
        <v>1728</v>
      </c>
      <c r="D81" s="32" t="s">
        <v>105</v>
      </c>
    </row>
    <row r="82" spans="1:16" x14ac:dyDescent="0.25">
      <c r="A82" t="s">
        <v>13</v>
      </c>
      <c r="B82" t="s">
        <v>1729</v>
      </c>
      <c r="N82" s="32" t="s">
        <v>105</v>
      </c>
    </row>
    <row r="83" spans="1:16" x14ac:dyDescent="0.25">
      <c r="A83" t="s">
        <v>13</v>
      </c>
      <c r="B83" t="s">
        <v>347</v>
      </c>
      <c r="F83" s="32" t="s">
        <v>105</v>
      </c>
      <c r="H83" s="32" t="s">
        <v>105</v>
      </c>
    </row>
    <row r="84" spans="1:16" x14ac:dyDescent="0.25">
      <c r="A84" t="s">
        <v>13</v>
      </c>
      <c r="B84" t="s">
        <v>439</v>
      </c>
      <c r="O84" s="32" t="s">
        <v>105</v>
      </c>
      <c r="P84" s="32" t="s">
        <v>256</v>
      </c>
    </row>
    <row r="85" spans="1:16" x14ac:dyDescent="0.25">
      <c r="A85" t="s">
        <v>13</v>
      </c>
      <c r="B85" t="s">
        <v>482</v>
      </c>
      <c r="F85" s="32" t="s">
        <v>105</v>
      </c>
      <c r="N85" s="32" t="s">
        <v>105</v>
      </c>
    </row>
    <row r="86" spans="1:16" x14ac:dyDescent="0.25">
      <c r="A86" t="s">
        <v>13</v>
      </c>
      <c r="B86" t="s">
        <v>106</v>
      </c>
      <c r="N86" s="32" t="s">
        <v>105</v>
      </c>
    </row>
    <row r="87" spans="1:16" x14ac:dyDescent="0.25">
      <c r="A87" t="s">
        <v>14</v>
      </c>
      <c r="B87" t="s">
        <v>156</v>
      </c>
      <c r="G87" s="32" t="s">
        <v>105</v>
      </c>
    </row>
    <row r="88" spans="1:16" x14ac:dyDescent="0.25">
      <c r="A88" t="s">
        <v>14</v>
      </c>
      <c r="B88" t="s">
        <v>159</v>
      </c>
      <c r="H88" s="32" t="s">
        <v>105</v>
      </c>
    </row>
    <row r="89" spans="1:16" x14ac:dyDescent="0.25">
      <c r="A89" t="s">
        <v>14</v>
      </c>
      <c r="B89" t="s">
        <v>252</v>
      </c>
      <c r="F89" s="32" t="s">
        <v>105</v>
      </c>
    </row>
    <row r="90" spans="1:16" x14ac:dyDescent="0.25">
      <c r="A90" t="s">
        <v>14</v>
      </c>
      <c r="B90" t="s">
        <v>324</v>
      </c>
      <c r="F90" s="32" t="s">
        <v>105</v>
      </c>
    </row>
    <row r="91" spans="1:16" x14ac:dyDescent="0.25">
      <c r="A91" t="s">
        <v>14</v>
      </c>
      <c r="B91" t="s">
        <v>325</v>
      </c>
      <c r="O91" s="32" t="s">
        <v>105</v>
      </c>
      <c r="P91" s="32" t="s">
        <v>115</v>
      </c>
    </row>
    <row r="92" spans="1:16" x14ac:dyDescent="0.25">
      <c r="A92" t="s">
        <v>14</v>
      </c>
      <c r="B92" t="s">
        <v>1733</v>
      </c>
      <c r="M92" s="32" t="s">
        <v>105</v>
      </c>
    </row>
    <row r="93" spans="1:16" x14ac:dyDescent="0.25">
      <c r="A93" t="s">
        <v>14</v>
      </c>
      <c r="B93" t="s">
        <v>1734</v>
      </c>
      <c r="K93" s="32" t="s">
        <v>105</v>
      </c>
    </row>
    <row r="94" spans="1:16" x14ac:dyDescent="0.25">
      <c r="A94" t="s">
        <v>14</v>
      </c>
      <c r="B94" t="s">
        <v>1735</v>
      </c>
      <c r="G94" s="32" t="s">
        <v>105</v>
      </c>
    </row>
    <row r="95" spans="1:16" x14ac:dyDescent="0.25">
      <c r="A95" t="s">
        <v>14</v>
      </c>
      <c r="B95" t="s">
        <v>1736</v>
      </c>
      <c r="H95" s="32" t="s">
        <v>105</v>
      </c>
    </row>
    <row r="96" spans="1:16" x14ac:dyDescent="0.25">
      <c r="A96" t="s">
        <v>14</v>
      </c>
      <c r="B96" t="s">
        <v>1737</v>
      </c>
      <c r="M96" s="32" t="s">
        <v>105</v>
      </c>
    </row>
    <row r="97" spans="1:47" x14ac:dyDescent="0.25">
      <c r="A97" t="s">
        <v>14</v>
      </c>
      <c r="B97" t="s">
        <v>1738</v>
      </c>
      <c r="M97" s="32" t="s">
        <v>105</v>
      </c>
    </row>
    <row r="98" spans="1:47" x14ac:dyDescent="0.25">
      <c r="A98" t="s">
        <v>16</v>
      </c>
      <c r="B98" t="s">
        <v>392</v>
      </c>
      <c r="F98" s="32" t="s">
        <v>105</v>
      </c>
    </row>
    <row r="99" spans="1:47" x14ac:dyDescent="0.25">
      <c r="A99" t="s">
        <v>16</v>
      </c>
      <c r="B99" t="s">
        <v>406</v>
      </c>
      <c r="G99" s="32" t="s">
        <v>105</v>
      </c>
    </row>
    <row r="100" spans="1:47" x14ac:dyDescent="0.25">
      <c r="A100" t="s">
        <v>16</v>
      </c>
      <c r="B100" t="s">
        <v>419</v>
      </c>
      <c r="G100" s="32" t="s">
        <v>105</v>
      </c>
      <c r="H100" s="32" t="s">
        <v>105</v>
      </c>
    </row>
    <row r="101" spans="1:47" x14ac:dyDescent="0.25">
      <c r="A101" t="s">
        <v>16</v>
      </c>
      <c r="B101" t="s">
        <v>1742</v>
      </c>
      <c r="G101" s="32" t="s">
        <v>105</v>
      </c>
    </row>
    <row r="102" spans="1:47" x14ac:dyDescent="0.25">
      <c r="A102" t="s">
        <v>16</v>
      </c>
      <c r="B102" t="s">
        <v>1743</v>
      </c>
      <c r="G102" s="32" t="s">
        <v>105</v>
      </c>
    </row>
    <row r="103" spans="1:47" x14ac:dyDescent="0.25">
      <c r="A103" t="s">
        <v>16</v>
      </c>
      <c r="B103" t="s">
        <v>1744</v>
      </c>
      <c r="G103" s="32" t="s">
        <v>105</v>
      </c>
    </row>
    <row r="104" spans="1:47" s="35" customFormat="1" ht="30" x14ac:dyDescent="0.25">
      <c r="A104" s="35" t="s">
        <v>16</v>
      </c>
      <c r="B104" s="35" t="s">
        <v>488</v>
      </c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 t="s">
        <v>105</v>
      </c>
      <c r="P104" s="37" t="s">
        <v>485</v>
      </c>
      <c r="Q104" s="38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40"/>
    </row>
    <row r="105" spans="1:47" x14ac:dyDescent="0.25">
      <c r="A105" t="s">
        <v>16</v>
      </c>
      <c r="B105" t="s">
        <v>524</v>
      </c>
      <c r="G105" s="32" t="s">
        <v>105</v>
      </c>
    </row>
    <row r="106" spans="1:47" x14ac:dyDescent="0.25">
      <c r="A106" t="s">
        <v>16</v>
      </c>
      <c r="B106" t="s">
        <v>536</v>
      </c>
      <c r="G106" s="32" t="s">
        <v>105</v>
      </c>
    </row>
    <row r="107" spans="1:47" x14ac:dyDescent="0.25">
      <c r="A107" t="s">
        <v>15</v>
      </c>
      <c r="B107" t="s">
        <v>164</v>
      </c>
      <c r="M107" s="32" t="s">
        <v>105</v>
      </c>
    </row>
    <row r="108" spans="1:47" x14ac:dyDescent="0.25">
      <c r="A108" t="s">
        <v>17</v>
      </c>
      <c r="B108" t="s">
        <v>1720</v>
      </c>
      <c r="N108" s="32" t="s">
        <v>105</v>
      </c>
    </row>
    <row r="109" spans="1:47" x14ac:dyDescent="0.25">
      <c r="A109" t="s">
        <v>17</v>
      </c>
      <c r="B109" t="s">
        <v>352</v>
      </c>
      <c r="N109" s="32" t="s">
        <v>105</v>
      </c>
    </row>
    <row r="110" spans="1:47" x14ac:dyDescent="0.25">
      <c r="A110" t="s">
        <v>20</v>
      </c>
      <c r="B110" t="s">
        <v>1745</v>
      </c>
      <c r="H110" s="32" t="s">
        <v>105</v>
      </c>
    </row>
    <row r="111" spans="1:47" x14ac:dyDescent="0.25">
      <c r="A111" t="s">
        <v>20</v>
      </c>
      <c r="B111" t="s">
        <v>520</v>
      </c>
      <c r="O111" s="32" t="s">
        <v>105</v>
      </c>
      <c r="P111" s="32" t="s">
        <v>115</v>
      </c>
    </row>
    <row r="112" spans="1:47" x14ac:dyDescent="0.25">
      <c r="A112" t="s">
        <v>21</v>
      </c>
      <c r="B112" t="s">
        <v>113</v>
      </c>
      <c r="F112" s="32" t="s">
        <v>105</v>
      </c>
      <c r="O112" s="32" t="s">
        <v>105</v>
      </c>
      <c r="P112" s="32" t="s">
        <v>115</v>
      </c>
    </row>
    <row r="113" spans="1:47" x14ac:dyDescent="0.25">
      <c r="A113" t="s">
        <v>21</v>
      </c>
      <c r="B113" t="s">
        <v>189</v>
      </c>
      <c r="M113" s="32" t="s">
        <v>105</v>
      </c>
    </row>
    <row r="114" spans="1:47" x14ac:dyDescent="0.25">
      <c r="A114" t="s">
        <v>18</v>
      </c>
      <c r="B114" t="s">
        <v>1749</v>
      </c>
      <c r="G114" s="32" t="s">
        <v>105</v>
      </c>
    </row>
    <row r="115" spans="1:47" x14ac:dyDescent="0.25">
      <c r="A115" t="s">
        <v>22</v>
      </c>
      <c r="B115" t="s">
        <v>391</v>
      </c>
      <c r="F115" s="32" t="s">
        <v>105</v>
      </c>
      <c r="G115" s="32" t="s">
        <v>105</v>
      </c>
    </row>
    <row r="116" spans="1:47" x14ac:dyDescent="0.25">
      <c r="A116" t="s">
        <v>23</v>
      </c>
      <c r="B116" t="s">
        <v>436</v>
      </c>
      <c r="N116" s="32" t="s">
        <v>105</v>
      </c>
    </row>
    <row r="117" spans="1:47" x14ac:dyDescent="0.25">
      <c r="A117" t="s">
        <v>24</v>
      </c>
      <c r="B117" t="s">
        <v>339</v>
      </c>
      <c r="D117" s="32" t="s">
        <v>105</v>
      </c>
    </row>
    <row r="118" spans="1:47" x14ac:dyDescent="0.25">
      <c r="A118" t="s">
        <v>24</v>
      </c>
      <c r="B118" t="s">
        <v>418</v>
      </c>
      <c r="G118" s="32" t="s">
        <v>105</v>
      </c>
      <c r="H118" s="32" t="s">
        <v>105</v>
      </c>
    </row>
    <row r="119" spans="1:47" s="35" customFormat="1" ht="30" x14ac:dyDescent="0.25">
      <c r="A119" s="35" t="s">
        <v>24</v>
      </c>
      <c r="B119" s="35" t="s">
        <v>490</v>
      </c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 t="s">
        <v>105</v>
      </c>
      <c r="P119" s="37" t="s">
        <v>485</v>
      </c>
      <c r="Q119" s="38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40"/>
    </row>
    <row r="120" spans="1:47" x14ac:dyDescent="0.25">
      <c r="A120" t="s">
        <v>24</v>
      </c>
      <c r="B120" t="s">
        <v>1747</v>
      </c>
      <c r="G120" s="32" t="s">
        <v>105</v>
      </c>
    </row>
    <row r="121" spans="1:47" x14ac:dyDescent="0.25">
      <c r="A121" t="s">
        <v>25</v>
      </c>
      <c r="B121" t="s">
        <v>179</v>
      </c>
      <c r="M121" s="32" t="s">
        <v>105</v>
      </c>
    </row>
    <row r="122" spans="1:47" x14ac:dyDescent="0.25">
      <c r="A122" t="s">
        <v>25</v>
      </c>
      <c r="B122" t="s">
        <v>246</v>
      </c>
      <c r="H122" s="32" t="s">
        <v>105</v>
      </c>
    </row>
    <row r="123" spans="1:47" x14ac:dyDescent="0.25">
      <c r="A123" t="s">
        <v>25</v>
      </c>
      <c r="B123" t="s">
        <v>357</v>
      </c>
      <c r="H123" s="32" t="s">
        <v>105</v>
      </c>
    </row>
    <row r="124" spans="1:47" x14ac:dyDescent="0.25">
      <c r="A124" t="s">
        <v>25</v>
      </c>
      <c r="B124" t="s">
        <v>415</v>
      </c>
      <c r="G124" s="32" t="s">
        <v>105</v>
      </c>
      <c r="H124" s="32" t="s">
        <v>105</v>
      </c>
    </row>
    <row r="125" spans="1:47" x14ac:dyDescent="0.25">
      <c r="A125" t="s">
        <v>25</v>
      </c>
      <c r="B125" t="s">
        <v>430</v>
      </c>
      <c r="N125" s="32" t="s">
        <v>105</v>
      </c>
    </row>
    <row r="126" spans="1:47" x14ac:dyDescent="0.25">
      <c r="A126" t="s">
        <v>25</v>
      </c>
      <c r="B126" t="s">
        <v>434</v>
      </c>
      <c r="H126" s="32" t="s">
        <v>105</v>
      </c>
    </row>
    <row r="127" spans="1:47" s="35" customFormat="1" ht="30" x14ac:dyDescent="0.25">
      <c r="A127" s="35" t="s">
        <v>25</v>
      </c>
      <c r="B127" s="35" t="s">
        <v>487</v>
      </c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 t="s">
        <v>105</v>
      </c>
      <c r="P127" s="37" t="s">
        <v>485</v>
      </c>
      <c r="Q127" s="38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40"/>
    </row>
    <row r="128" spans="1:47" x14ac:dyDescent="0.25">
      <c r="A128" t="s">
        <v>26</v>
      </c>
      <c r="B128" t="s">
        <v>493</v>
      </c>
      <c r="N128" s="32" t="s">
        <v>105</v>
      </c>
    </row>
    <row r="129" spans="1:47" x14ac:dyDescent="0.25">
      <c r="A129" t="s">
        <v>26</v>
      </c>
      <c r="B129" t="s">
        <v>495</v>
      </c>
      <c r="N129" s="32" t="s">
        <v>105</v>
      </c>
    </row>
    <row r="130" spans="1:47" x14ac:dyDescent="0.25">
      <c r="A130" t="s">
        <v>28</v>
      </c>
      <c r="B130" t="s">
        <v>326</v>
      </c>
      <c r="L130" s="32" t="s">
        <v>105</v>
      </c>
    </row>
    <row r="131" spans="1:47" x14ac:dyDescent="0.25">
      <c r="A131" t="s">
        <v>28</v>
      </c>
      <c r="B131" t="s">
        <v>380</v>
      </c>
      <c r="M131" s="32" t="s">
        <v>105</v>
      </c>
    </row>
    <row r="132" spans="1:47" x14ac:dyDescent="0.25">
      <c r="A132" t="s">
        <v>28</v>
      </c>
      <c r="B132" t="s">
        <v>385</v>
      </c>
      <c r="N132" s="32" t="s">
        <v>105</v>
      </c>
    </row>
    <row r="133" spans="1:47" x14ac:dyDescent="0.25">
      <c r="A133" t="s">
        <v>28</v>
      </c>
      <c r="B133" t="s">
        <v>390</v>
      </c>
      <c r="J133" s="32" t="s">
        <v>105</v>
      </c>
    </row>
    <row r="134" spans="1:47" x14ac:dyDescent="0.25">
      <c r="A134" t="s">
        <v>28</v>
      </c>
      <c r="B134" t="s">
        <v>396</v>
      </c>
      <c r="E134" s="32" t="s">
        <v>105</v>
      </c>
      <c r="F134" s="32" t="s">
        <v>105</v>
      </c>
      <c r="G134" s="32" t="s">
        <v>105</v>
      </c>
      <c r="H134" s="32" t="s">
        <v>105</v>
      </c>
      <c r="M134" s="32" t="s">
        <v>105</v>
      </c>
    </row>
    <row r="135" spans="1:47" x14ac:dyDescent="0.25">
      <c r="A135" t="s">
        <v>28</v>
      </c>
      <c r="B135" t="s">
        <v>407</v>
      </c>
      <c r="J135" s="32" t="s">
        <v>105</v>
      </c>
    </row>
    <row r="136" spans="1:47" x14ac:dyDescent="0.25">
      <c r="A136" t="s">
        <v>27</v>
      </c>
      <c r="B136" t="s">
        <v>381</v>
      </c>
      <c r="N136" s="32" t="s">
        <v>105</v>
      </c>
    </row>
    <row r="137" spans="1:47" x14ac:dyDescent="0.25">
      <c r="A137" t="s">
        <v>27</v>
      </c>
      <c r="B137" t="s">
        <v>396</v>
      </c>
      <c r="F137" s="32" t="s">
        <v>105</v>
      </c>
    </row>
    <row r="138" spans="1:47" x14ac:dyDescent="0.25">
      <c r="A138" t="s">
        <v>29</v>
      </c>
      <c r="B138" t="s">
        <v>341</v>
      </c>
      <c r="H138" s="32" t="s">
        <v>105</v>
      </c>
    </row>
    <row r="139" spans="1:47" x14ac:dyDescent="0.25">
      <c r="A139" t="s">
        <v>30</v>
      </c>
      <c r="B139" t="s">
        <v>416</v>
      </c>
      <c r="G139" s="32" t="s">
        <v>105</v>
      </c>
      <c r="H139" s="32" t="s">
        <v>105</v>
      </c>
    </row>
    <row r="140" spans="1:47" x14ac:dyDescent="0.25">
      <c r="A140" t="s">
        <v>30</v>
      </c>
      <c r="B140" t="s">
        <v>1753</v>
      </c>
      <c r="H140" s="32" t="s">
        <v>105</v>
      </c>
    </row>
    <row r="141" spans="1:47" x14ac:dyDescent="0.25">
      <c r="A141" t="s">
        <v>31</v>
      </c>
      <c r="B141" t="s">
        <v>397</v>
      </c>
      <c r="G141" s="32" t="s">
        <v>105</v>
      </c>
    </row>
    <row r="142" spans="1:47" x14ac:dyDescent="0.25">
      <c r="A142" t="s">
        <v>31</v>
      </c>
      <c r="B142" t="s">
        <v>417</v>
      </c>
      <c r="G142" s="32" t="s">
        <v>105</v>
      </c>
      <c r="H142" s="32" t="s">
        <v>105</v>
      </c>
    </row>
    <row r="143" spans="1:47" s="35" customFormat="1" ht="30" x14ac:dyDescent="0.25">
      <c r="A143" s="35" t="s">
        <v>31</v>
      </c>
      <c r="B143" s="35" t="s">
        <v>484</v>
      </c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 t="s">
        <v>105</v>
      </c>
      <c r="P143" s="37" t="s">
        <v>485</v>
      </c>
      <c r="Q143" s="38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40"/>
    </row>
    <row r="144" spans="1:47" x14ac:dyDescent="0.25">
      <c r="A144" t="s">
        <v>31</v>
      </c>
      <c r="B144" t="s">
        <v>1746</v>
      </c>
      <c r="G144" s="32" t="s">
        <v>105</v>
      </c>
    </row>
    <row r="145" spans="1:16" x14ac:dyDescent="0.25">
      <c r="A145" t="s">
        <v>33</v>
      </c>
      <c r="B145" t="s">
        <v>516</v>
      </c>
      <c r="H145" s="32" t="s">
        <v>105</v>
      </c>
    </row>
    <row r="146" spans="1:16" x14ac:dyDescent="0.25">
      <c r="A146" t="s">
        <v>32</v>
      </c>
      <c r="B146" t="s">
        <v>522</v>
      </c>
      <c r="O146" s="32" t="s">
        <v>105</v>
      </c>
      <c r="P146" s="32" t="s">
        <v>115</v>
      </c>
    </row>
    <row r="147" spans="1:16" x14ac:dyDescent="0.25">
      <c r="A147" t="s">
        <v>34</v>
      </c>
      <c r="B147" t="s">
        <v>440</v>
      </c>
      <c r="N147" s="32" t="s">
        <v>105</v>
      </c>
    </row>
    <row r="148" spans="1:16" x14ac:dyDescent="0.25">
      <c r="A148" t="s">
        <v>34</v>
      </c>
      <c r="B148" t="s">
        <v>1739</v>
      </c>
      <c r="M148" s="32" t="s">
        <v>105</v>
      </c>
    </row>
    <row r="149" spans="1:16" x14ac:dyDescent="0.25">
      <c r="A149" t="s">
        <v>35</v>
      </c>
      <c r="B149" t="s">
        <v>1748</v>
      </c>
      <c r="G149" s="32" t="s">
        <v>105</v>
      </c>
    </row>
    <row r="150" spans="1:16" x14ac:dyDescent="0.25">
      <c r="A150" t="s">
        <v>36</v>
      </c>
      <c r="B150" t="s">
        <v>224</v>
      </c>
      <c r="M150" s="32" t="s">
        <v>105</v>
      </c>
    </row>
    <row r="151" spans="1:16" x14ac:dyDescent="0.25">
      <c r="A151" t="s">
        <v>36</v>
      </c>
      <c r="B151" t="s">
        <v>504</v>
      </c>
      <c r="O151" s="32" t="s">
        <v>105</v>
      </c>
      <c r="P151" s="32" t="s">
        <v>115</v>
      </c>
    </row>
    <row r="152" spans="1:16" x14ac:dyDescent="0.25">
      <c r="A152" t="s">
        <v>37</v>
      </c>
      <c r="B152" t="s">
        <v>1723</v>
      </c>
      <c r="N152" s="32" t="s">
        <v>105</v>
      </c>
    </row>
    <row r="153" spans="1:16" x14ac:dyDescent="0.25">
      <c r="A153" t="s">
        <v>39</v>
      </c>
      <c r="B153" t="s">
        <v>131</v>
      </c>
      <c r="O153" s="32" t="s">
        <v>105</v>
      </c>
      <c r="P153" s="32" t="s">
        <v>115</v>
      </c>
    </row>
    <row r="154" spans="1:16" x14ac:dyDescent="0.25">
      <c r="A154" t="s">
        <v>39</v>
      </c>
      <c r="B154" t="s">
        <v>361</v>
      </c>
      <c r="F154" s="32" t="s">
        <v>105</v>
      </c>
    </row>
    <row r="155" spans="1:16" x14ac:dyDescent="0.25">
      <c r="A155" t="s">
        <v>39</v>
      </c>
      <c r="B155" t="s">
        <v>364</v>
      </c>
      <c r="M155" s="32" t="s">
        <v>105</v>
      </c>
    </row>
    <row r="156" spans="1:16" x14ac:dyDescent="0.25">
      <c r="A156" t="s">
        <v>39</v>
      </c>
      <c r="B156" t="s">
        <v>371</v>
      </c>
      <c r="H156" s="32" t="s">
        <v>105</v>
      </c>
    </row>
    <row r="157" spans="1:16" x14ac:dyDescent="0.25">
      <c r="A157" t="s">
        <v>39</v>
      </c>
      <c r="B157" t="s">
        <v>378</v>
      </c>
      <c r="N157" s="32" t="s">
        <v>105</v>
      </c>
    </row>
    <row r="158" spans="1:16" x14ac:dyDescent="0.25">
      <c r="A158" t="s">
        <v>39</v>
      </c>
      <c r="B158" t="s">
        <v>410</v>
      </c>
      <c r="H158" s="32" t="s">
        <v>105</v>
      </c>
    </row>
    <row r="159" spans="1:16" x14ac:dyDescent="0.25">
      <c r="A159" t="s">
        <v>39</v>
      </c>
      <c r="B159" t="s">
        <v>450</v>
      </c>
      <c r="N159" s="32" t="s">
        <v>105</v>
      </c>
      <c r="P159" s="32" t="s">
        <v>256</v>
      </c>
    </row>
    <row r="160" spans="1:16" x14ac:dyDescent="0.25">
      <c r="A160" t="s">
        <v>39</v>
      </c>
      <c r="B160" t="s">
        <v>471</v>
      </c>
      <c r="F160" s="32" t="s">
        <v>105</v>
      </c>
    </row>
    <row r="161" spans="1:47" x14ac:dyDescent="0.25">
      <c r="A161" t="s">
        <v>39</v>
      </c>
      <c r="B161" t="s">
        <v>472</v>
      </c>
      <c r="M161" s="32" t="s">
        <v>105</v>
      </c>
    </row>
    <row r="162" spans="1:47" x14ac:dyDescent="0.25">
      <c r="A162" t="s">
        <v>39</v>
      </c>
      <c r="B162" t="s">
        <v>473</v>
      </c>
      <c r="H162" s="32" t="s">
        <v>105</v>
      </c>
    </row>
    <row r="163" spans="1:47" x14ac:dyDescent="0.25">
      <c r="A163" t="s">
        <v>39</v>
      </c>
      <c r="B163" t="s">
        <v>474</v>
      </c>
      <c r="H163" s="32" t="s">
        <v>105</v>
      </c>
    </row>
    <row r="164" spans="1:47" x14ac:dyDescent="0.25">
      <c r="A164" t="s">
        <v>39</v>
      </c>
      <c r="B164" t="s">
        <v>475</v>
      </c>
      <c r="G164" s="32" t="s">
        <v>105</v>
      </c>
    </row>
    <row r="165" spans="1:47" x14ac:dyDescent="0.25">
      <c r="A165" t="s">
        <v>39</v>
      </c>
      <c r="B165" t="s">
        <v>481</v>
      </c>
      <c r="H165" s="32" t="s">
        <v>105</v>
      </c>
    </row>
    <row r="166" spans="1:47" x14ac:dyDescent="0.25">
      <c r="A166" t="s">
        <v>38</v>
      </c>
      <c r="B166" t="s">
        <v>399</v>
      </c>
      <c r="G166" s="32" t="s">
        <v>105</v>
      </c>
    </row>
    <row r="167" spans="1:47" x14ac:dyDescent="0.25">
      <c r="A167" t="s">
        <v>40</v>
      </c>
      <c r="B167" t="s">
        <v>359</v>
      </c>
      <c r="F167" s="32" t="s">
        <v>105</v>
      </c>
      <c r="H167" s="32" t="s">
        <v>105</v>
      </c>
    </row>
    <row r="168" spans="1:47" x14ac:dyDescent="0.25">
      <c r="A168" t="s">
        <v>41</v>
      </c>
      <c r="B168" t="s">
        <v>191</v>
      </c>
      <c r="O168" s="32" t="s">
        <v>105</v>
      </c>
      <c r="P168" s="32" t="s">
        <v>115</v>
      </c>
    </row>
    <row r="169" spans="1:47" x14ac:dyDescent="0.25">
      <c r="A169" t="s">
        <v>41</v>
      </c>
      <c r="B169" t="s">
        <v>518</v>
      </c>
      <c r="O169" s="32" t="s">
        <v>105</v>
      </c>
      <c r="P169" s="32" t="s">
        <v>115</v>
      </c>
    </row>
    <row r="170" spans="1:47" x14ac:dyDescent="0.25">
      <c r="A170" t="s">
        <v>42</v>
      </c>
      <c r="B170" t="s">
        <v>160</v>
      </c>
      <c r="H170" s="32" t="s">
        <v>105</v>
      </c>
    </row>
    <row r="171" spans="1:47" x14ac:dyDescent="0.25">
      <c r="A171" t="s">
        <v>42</v>
      </c>
      <c r="B171" t="s">
        <v>233</v>
      </c>
      <c r="H171" s="32" t="s">
        <v>105</v>
      </c>
      <c r="O171" s="32" t="s">
        <v>105</v>
      </c>
      <c r="P171" s="32" t="s">
        <v>115</v>
      </c>
    </row>
    <row r="172" spans="1:47" x14ac:dyDescent="0.25">
      <c r="A172" t="s">
        <v>42</v>
      </c>
      <c r="B172" t="s">
        <v>240</v>
      </c>
      <c r="F172" s="32" t="s">
        <v>105</v>
      </c>
    </row>
    <row r="173" spans="1:47" x14ac:dyDescent="0.25">
      <c r="A173" t="s">
        <v>42</v>
      </c>
      <c r="B173" t="s">
        <v>251</v>
      </c>
      <c r="H173" s="32" t="s">
        <v>105</v>
      </c>
      <c r="N173" s="32" t="s">
        <v>105</v>
      </c>
    </row>
    <row r="174" spans="1:47" s="35" customFormat="1" ht="45" x14ac:dyDescent="0.25">
      <c r="A174" s="35" t="s">
        <v>42</v>
      </c>
      <c r="B174" s="35" t="s">
        <v>307</v>
      </c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 t="s">
        <v>105</v>
      </c>
      <c r="P174" s="37" t="s">
        <v>1776</v>
      </c>
      <c r="Q174" s="38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40"/>
    </row>
    <row r="175" spans="1:47" ht="45" x14ac:dyDescent="0.25">
      <c r="A175" t="s">
        <v>42</v>
      </c>
      <c r="B175" t="s">
        <v>308</v>
      </c>
      <c r="O175" s="32" t="s">
        <v>105</v>
      </c>
      <c r="P175" s="37" t="s">
        <v>1776</v>
      </c>
    </row>
    <row r="176" spans="1:47" x14ac:dyDescent="0.25">
      <c r="A176" t="s">
        <v>42</v>
      </c>
      <c r="B176" t="s">
        <v>527</v>
      </c>
      <c r="H176" s="32" t="s">
        <v>105</v>
      </c>
    </row>
    <row r="177" spans="1:47" x14ac:dyDescent="0.25">
      <c r="A177" t="s">
        <v>43</v>
      </c>
      <c r="B177" t="s">
        <v>181</v>
      </c>
      <c r="M177" s="32" t="s">
        <v>105</v>
      </c>
    </row>
    <row r="178" spans="1:47" x14ac:dyDescent="0.25">
      <c r="A178" t="s">
        <v>1638</v>
      </c>
      <c r="B178" t="s">
        <v>1719</v>
      </c>
      <c r="G178" s="32" t="s">
        <v>105</v>
      </c>
    </row>
    <row r="179" spans="1:47" x14ac:dyDescent="0.25">
      <c r="A179" t="s">
        <v>44</v>
      </c>
      <c r="B179" t="s">
        <v>183</v>
      </c>
      <c r="M179" s="32" t="s">
        <v>105</v>
      </c>
    </row>
    <row r="180" spans="1:47" x14ac:dyDescent="0.25">
      <c r="A180" t="s">
        <v>44</v>
      </c>
      <c r="B180" t="s">
        <v>217</v>
      </c>
      <c r="G180" s="32" t="s">
        <v>105</v>
      </c>
    </row>
    <row r="181" spans="1:47" x14ac:dyDescent="0.25">
      <c r="A181" t="s">
        <v>44</v>
      </c>
      <c r="B181" t="s">
        <v>229</v>
      </c>
      <c r="M181" s="32" t="s">
        <v>105</v>
      </c>
    </row>
    <row r="182" spans="1:47" x14ac:dyDescent="0.25">
      <c r="A182" t="s">
        <v>44</v>
      </c>
      <c r="B182" t="s">
        <v>297</v>
      </c>
      <c r="G182" s="32" t="s">
        <v>105</v>
      </c>
    </row>
    <row r="183" spans="1:47" x14ac:dyDescent="0.25">
      <c r="A183" t="s">
        <v>44</v>
      </c>
      <c r="B183" t="s">
        <v>343</v>
      </c>
      <c r="H183" s="32" t="s">
        <v>105</v>
      </c>
    </row>
    <row r="184" spans="1:47" x14ac:dyDescent="0.25">
      <c r="A184" t="s">
        <v>44</v>
      </c>
      <c r="B184" t="s">
        <v>445</v>
      </c>
      <c r="G184" s="32" t="s">
        <v>105</v>
      </c>
    </row>
    <row r="185" spans="1:47" x14ac:dyDescent="0.25">
      <c r="A185" t="s">
        <v>44</v>
      </c>
      <c r="B185" t="s">
        <v>470</v>
      </c>
      <c r="G185" s="32" t="s">
        <v>105</v>
      </c>
    </row>
    <row r="186" spans="1:47" x14ac:dyDescent="0.25">
      <c r="A186" t="s">
        <v>45</v>
      </c>
      <c r="B186" t="s">
        <v>121</v>
      </c>
      <c r="N186" s="32" t="s">
        <v>105</v>
      </c>
      <c r="O186" s="32" t="s">
        <v>105</v>
      </c>
      <c r="P186" s="32" t="s">
        <v>122</v>
      </c>
    </row>
    <row r="187" spans="1:47" x14ac:dyDescent="0.25">
      <c r="A187" t="s">
        <v>45</v>
      </c>
      <c r="B187" t="s">
        <v>124</v>
      </c>
      <c r="N187" s="32" t="s">
        <v>105</v>
      </c>
    </row>
    <row r="188" spans="1:47" x14ac:dyDescent="0.25">
      <c r="A188" t="s">
        <v>45</v>
      </c>
      <c r="B188" t="s">
        <v>525</v>
      </c>
      <c r="M188" s="32" t="s">
        <v>105</v>
      </c>
    </row>
    <row r="189" spans="1:47" s="35" customFormat="1" ht="30" x14ac:dyDescent="0.25">
      <c r="A189" s="35" t="s">
        <v>45</v>
      </c>
      <c r="B189" s="35" t="s">
        <v>1686</v>
      </c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 t="s">
        <v>105</v>
      </c>
      <c r="P189" s="37" t="s">
        <v>1687</v>
      </c>
      <c r="Q189" s="38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40"/>
    </row>
    <row r="190" spans="1:47" x14ac:dyDescent="0.25">
      <c r="A190" t="s">
        <v>45</v>
      </c>
      <c r="B190" t="s">
        <v>1688</v>
      </c>
      <c r="M190" s="32" t="s">
        <v>105</v>
      </c>
    </row>
    <row r="191" spans="1:47" x14ac:dyDescent="0.25">
      <c r="A191" t="s">
        <v>45</v>
      </c>
      <c r="B191" t="s">
        <v>1689</v>
      </c>
      <c r="N191" s="32" t="s">
        <v>105</v>
      </c>
    </row>
    <row r="192" spans="1:47" x14ac:dyDescent="0.25">
      <c r="A192" t="s">
        <v>45</v>
      </c>
      <c r="B192" t="s">
        <v>125</v>
      </c>
      <c r="N192" s="32" t="s">
        <v>105</v>
      </c>
    </row>
    <row r="193" spans="1:14" x14ac:dyDescent="0.25">
      <c r="A193" t="s">
        <v>45</v>
      </c>
      <c r="B193" t="s">
        <v>126</v>
      </c>
      <c r="N193" s="32" t="s">
        <v>105</v>
      </c>
    </row>
    <row r="194" spans="1:14" x14ac:dyDescent="0.25">
      <c r="A194" t="s">
        <v>45</v>
      </c>
      <c r="B194" t="s">
        <v>127</v>
      </c>
      <c r="M194" s="32" t="s">
        <v>105</v>
      </c>
    </row>
    <row r="195" spans="1:14" x14ac:dyDescent="0.25">
      <c r="A195" t="s">
        <v>45</v>
      </c>
      <c r="B195" t="s">
        <v>128</v>
      </c>
      <c r="M195" s="32" t="s">
        <v>105</v>
      </c>
    </row>
    <row r="196" spans="1:14" x14ac:dyDescent="0.25">
      <c r="A196" t="s">
        <v>45</v>
      </c>
      <c r="B196" t="s">
        <v>172</v>
      </c>
      <c r="N196" s="32" t="s">
        <v>105</v>
      </c>
    </row>
    <row r="197" spans="1:14" x14ac:dyDescent="0.25">
      <c r="A197" t="s">
        <v>45</v>
      </c>
      <c r="B197" t="s">
        <v>175</v>
      </c>
      <c r="H197" s="32" t="s">
        <v>105</v>
      </c>
    </row>
    <row r="198" spans="1:14" x14ac:dyDescent="0.25">
      <c r="A198" t="s">
        <v>45</v>
      </c>
      <c r="B198" t="s">
        <v>193</v>
      </c>
      <c r="M198" s="32" t="s">
        <v>105</v>
      </c>
    </row>
    <row r="199" spans="1:14" x14ac:dyDescent="0.25">
      <c r="A199" t="s">
        <v>45</v>
      </c>
      <c r="B199" t="s">
        <v>195</v>
      </c>
      <c r="M199" s="32" t="s">
        <v>105</v>
      </c>
    </row>
    <row r="200" spans="1:14" x14ac:dyDescent="0.25">
      <c r="A200" t="s">
        <v>45</v>
      </c>
      <c r="B200" t="s">
        <v>202</v>
      </c>
      <c r="H200" s="32" t="s">
        <v>105</v>
      </c>
    </row>
    <row r="201" spans="1:14" x14ac:dyDescent="0.25">
      <c r="A201" t="s">
        <v>45</v>
      </c>
      <c r="B201" t="s">
        <v>213</v>
      </c>
      <c r="F201" s="32" t="s">
        <v>105</v>
      </c>
    </row>
    <row r="202" spans="1:14" x14ac:dyDescent="0.25">
      <c r="A202" t="s">
        <v>45</v>
      </c>
      <c r="B202" t="s">
        <v>234</v>
      </c>
      <c r="M202" s="32" t="s">
        <v>105</v>
      </c>
    </row>
    <row r="203" spans="1:14" x14ac:dyDescent="0.25">
      <c r="A203" t="s">
        <v>45</v>
      </c>
      <c r="B203" t="s">
        <v>238</v>
      </c>
      <c r="H203" s="32" t="s">
        <v>105</v>
      </c>
    </row>
    <row r="204" spans="1:14" x14ac:dyDescent="0.25">
      <c r="A204" t="s">
        <v>45</v>
      </c>
      <c r="B204" t="s">
        <v>239</v>
      </c>
      <c r="N204" s="32" t="s">
        <v>105</v>
      </c>
    </row>
    <row r="205" spans="1:14" x14ac:dyDescent="0.25">
      <c r="A205" t="s">
        <v>45</v>
      </c>
      <c r="B205" t="s">
        <v>243</v>
      </c>
      <c r="J205" s="32" t="s">
        <v>105</v>
      </c>
    </row>
    <row r="206" spans="1:14" x14ac:dyDescent="0.25">
      <c r="A206" t="s">
        <v>45</v>
      </c>
      <c r="B206" t="s">
        <v>244</v>
      </c>
      <c r="H206" s="32" t="s">
        <v>105</v>
      </c>
    </row>
    <row r="207" spans="1:14" x14ac:dyDescent="0.25">
      <c r="A207" t="s">
        <v>45</v>
      </c>
      <c r="B207" t="s">
        <v>245</v>
      </c>
      <c r="M207" s="32" t="s">
        <v>105</v>
      </c>
    </row>
    <row r="208" spans="1:14" x14ac:dyDescent="0.25">
      <c r="A208" t="s">
        <v>45</v>
      </c>
      <c r="B208" t="s">
        <v>1695</v>
      </c>
      <c r="M208" s="32" t="s">
        <v>105</v>
      </c>
    </row>
    <row r="209" spans="1:16" x14ac:dyDescent="0.25">
      <c r="A209" t="s">
        <v>45</v>
      </c>
      <c r="B209" t="s">
        <v>1696</v>
      </c>
      <c r="O209" s="32" t="s">
        <v>105</v>
      </c>
      <c r="P209" s="32" t="s">
        <v>256</v>
      </c>
    </row>
    <row r="210" spans="1:16" x14ac:dyDescent="0.25">
      <c r="A210" t="s">
        <v>45</v>
      </c>
      <c r="B210" t="s">
        <v>257</v>
      </c>
      <c r="H210" s="32" t="s">
        <v>105</v>
      </c>
    </row>
    <row r="211" spans="1:16" x14ac:dyDescent="0.25">
      <c r="A211" t="s">
        <v>45</v>
      </c>
      <c r="B211" t="s">
        <v>258</v>
      </c>
      <c r="H211" s="32" t="s">
        <v>105</v>
      </c>
    </row>
    <row r="212" spans="1:16" x14ac:dyDescent="0.25">
      <c r="A212" t="s">
        <v>45</v>
      </c>
      <c r="B212" t="s">
        <v>282</v>
      </c>
      <c r="M212" s="32" t="s">
        <v>105</v>
      </c>
    </row>
    <row r="213" spans="1:16" x14ac:dyDescent="0.25">
      <c r="A213" t="s">
        <v>45</v>
      </c>
      <c r="B213" t="s">
        <v>284</v>
      </c>
      <c r="H213" s="32" t="s">
        <v>105</v>
      </c>
    </row>
    <row r="214" spans="1:16" x14ac:dyDescent="0.25">
      <c r="A214" t="s">
        <v>45</v>
      </c>
      <c r="B214" t="s">
        <v>289</v>
      </c>
      <c r="N214" s="32" t="s">
        <v>105</v>
      </c>
    </row>
    <row r="215" spans="1:16" x14ac:dyDescent="0.25">
      <c r="A215" t="s">
        <v>45</v>
      </c>
      <c r="B215" t="s">
        <v>294</v>
      </c>
      <c r="F215" s="32" t="s">
        <v>105</v>
      </c>
      <c r="H215" s="32" t="s">
        <v>105</v>
      </c>
      <c r="M215" s="32" t="s">
        <v>105</v>
      </c>
    </row>
    <row r="216" spans="1:16" x14ac:dyDescent="0.25">
      <c r="A216" t="s">
        <v>45</v>
      </c>
      <c r="B216" t="s">
        <v>1698</v>
      </c>
      <c r="N216" s="32" t="s">
        <v>105</v>
      </c>
    </row>
    <row r="217" spans="1:16" x14ac:dyDescent="0.25">
      <c r="A217" t="s">
        <v>45</v>
      </c>
      <c r="B217" t="s">
        <v>299</v>
      </c>
      <c r="M217" s="32" t="s">
        <v>105</v>
      </c>
    </row>
    <row r="218" spans="1:16" x14ac:dyDescent="0.25">
      <c r="A218" t="s">
        <v>45</v>
      </c>
      <c r="B218" t="s">
        <v>300</v>
      </c>
      <c r="M218" s="32" t="s">
        <v>105</v>
      </c>
    </row>
    <row r="219" spans="1:16" x14ac:dyDescent="0.25">
      <c r="A219" t="s">
        <v>45</v>
      </c>
      <c r="B219" t="s">
        <v>306</v>
      </c>
      <c r="N219" s="32" t="s">
        <v>105</v>
      </c>
    </row>
    <row r="220" spans="1:16" x14ac:dyDescent="0.25">
      <c r="A220" t="s">
        <v>45</v>
      </c>
      <c r="B220" t="s">
        <v>1699</v>
      </c>
      <c r="N220" s="32" t="s">
        <v>105</v>
      </c>
    </row>
    <row r="221" spans="1:16" x14ac:dyDescent="0.25">
      <c r="A221" t="s">
        <v>45</v>
      </c>
      <c r="B221" t="s">
        <v>309</v>
      </c>
      <c r="G221" s="32" t="s">
        <v>105</v>
      </c>
    </row>
    <row r="222" spans="1:16" x14ac:dyDescent="0.25">
      <c r="A222" t="s">
        <v>45</v>
      </c>
      <c r="B222" t="s">
        <v>311</v>
      </c>
      <c r="M222" s="32" t="s">
        <v>105</v>
      </c>
    </row>
    <row r="223" spans="1:16" x14ac:dyDescent="0.25">
      <c r="A223" t="s">
        <v>45</v>
      </c>
      <c r="B223" t="s">
        <v>315</v>
      </c>
      <c r="N223" s="32" t="s">
        <v>105</v>
      </c>
    </row>
    <row r="224" spans="1:16" x14ac:dyDescent="0.25">
      <c r="A224" t="s">
        <v>45</v>
      </c>
      <c r="B224" t="s">
        <v>317</v>
      </c>
      <c r="M224" s="32" t="s">
        <v>105</v>
      </c>
    </row>
    <row r="225" spans="1:14" x14ac:dyDescent="0.25">
      <c r="A225" t="s">
        <v>45</v>
      </c>
      <c r="B225" t="s">
        <v>323</v>
      </c>
      <c r="I225" s="32" t="s">
        <v>105</v>
      </c>
    </row>
    <row r="226" spans="1:14" x14ac:dyDescent="0.25">
      <c r="A226" t="s">
        <v>45</v>
      </c>
      <c r="B226" t="s">
        <v>333</v>
      </c>
      <c r="M226" s="32" t="s">
        <v>105</v>
      </c>
    </row>
    <row r="227" spans="1:14" x14ac:dyDescent="0.25">
      <c r="A227" t="s">
        <v>45</v>
      </c>
      <c r="B227" t="s">
        <v>351</v>
      </c>
      <c r="F227" s="32" t="s">
        <v>105</v>
      </c>
    </row>
    <row r="228" spans="1:14" x14ac:dyDescent="0.25">
      <c r="A228" t="s">
        <v>45</v>
      </c>
      <c r="B228" t="s">
        <v>1700</v>
      </c>
      <c r="H228" s="32" t="s">
        <v>105</v>
      </c>
    </row>
    <row r="229" spans="1:14" x14ac:dyDescent="0.25">
      <c r="A229" t="s">
        <v>45</v>
      </c>
      <c r="B229" t="s">
        <v>362</v>
      </c>
      <c r="F229" s="32" t="s">
        <v>105</v>
      </c>
    </row>
    <row r="230" spans="1:14" x14ac:dyDescent="0.25">
      <c r="A230" t="s">
        <v>45</v>
      </c>
      <c r="B230" t="s">
        <v>363</v>
      </c>
      <c r="N230" s="32" t="s">
        <v>105</v>
      </c>
    </row>
    <row r="231" spans="1:14" x14ac:dyDescent="0.25">
      <c r="A231" t="s">
        <v>45</v>
      </c>
      <c r="B231" t="s">
        <v>367</v>
      </c>
      <c r="G231" s="32" t="s">
        <v>105</v>
      </c>
      <c r="H231" s="32" t="s">
        <v>105</v>
      </c>
    </row>
    <row r="232" spans="1:14" x14ac:dyDescent="0.25">
      <c r="A232" t="s">
        <v>45</v>
      </c>
      <c r="B232" t="s">
        <v>377</v>
      </c>
      <c r="N232" s="32" t="s">
        <v>105</v>
      </c>
    </row>
    <row r="233" spans="1:14" x14ac:dyDescent="0.25">
      <c r="A233" t="s">
        <v>45</v>
      </c>
      <c r="B233" t="s">
        <v>384</v>
      </c>
      <c r="F233" s="32" t="s">
        <v>105</v>
      </c>
    </row>
    <row r="234" spans="1:14" x14ac:dyDescent="0.25">
      <c r="A234" t="s">
        <v>45</v>
      </c>
      <c r="B234" t="s">
        <v>401</v>
      </c>
      <c r="N234" s="32" t="s">
        <v>105</v>
      </c>
    </row>
    <row r="235" spans="1:14" x14ac:dyDescent="0.25">
      <c r="A235" t="s">
        <v>45</v>
      </c>
      <c r="B235" t="s">
        <v>1702</v>
      </c>
      <c r="N235" s="32" t="s">
        <v>105</v>
      </c>
    </row>
    <row r="236" spans="1:14" x14ac:dyDescent="0.25">
      <c r="A236" t="s">
        <v>45</v>
      </c>
      <c r="B236" t="s">
        <v>428</v>
      </c>
      <c r="N236" s="32" t="s">
        <v>105</v>
      </c>
    </row>
    <row r="237" spans="1:14" x14ac:dyDescent="0.25">
      <c r="A237" t="s">
        <v>45</v>
      </c>
      <c r="B237" t="s">
        <v>442</v>
      </c>
      <c r="M237" s="32" t="s">
        <v>105</v>
      </c>
    </row>
    <row r="238" spans="1:14" x14ac:dyDescent="0.25">
      <c r="A238" t="s">
        <v>45</v>
      </c>
      <c r="B238" t="s">
        <v>443</v>
      </c>
      <c r="M238" s="32" t="s">
        <v>105</v>
      </c>
    </row>
    <row r="239" spans="1:14" x14ac:dyDescent="0.25">
      <c r="A239" t="s">
        <v>45</v>
      </c>
      <c r="B239" t="s">
        <v>444</v>
      </c>
      <c r="M239" s="32" t="s">
        <v>105</v>
      </c>
    </row>
    <row r="240" spans="1:14" x14ac:dyDescent="0.25">
      <c r="A240" t="s">
        <v>45</v>
      </c>
      <c r="B240" t="s">
        <v>449</v>
      </c>
      <c r="M240" s="32" t="s">
        <v>105</v>
      </c>
    </row>
    <row r="241" spans="1:16" x14ac:dyDescent="0.25">
      <c r="A241" t="s">
        <v>45</v>
      </c>
      <c r="B241" t="s">
        <v>451</v>
      </c>
      <c r="F241" s="32" t="s">
        <v>105</v>
      </c>
    </row>
    <row r="242" spans="1:16" x14ac:dyDescent="0.25">
      <c r="A242" t="s">
        <v>45</v>
      </c>
      <c r="B242" t="s">
        <v>452</v>
      </c>
      <c r="M242" s="32" t="s">
        <v>105</v>
      </c>
    </row>
    <row r="243" spans="1:16" x14ac:dyDescent="0.25">
      <c r="A243" t="s">
        <v>45</v>
      </c>
      <c r="B243" t="s">
        <v>454</v>
      </c>
      <c r="N243" s="32" t="s">
        <v>105</v>
      </c>
    </row>
    <row r="244" spans="1:16" x14ac:dyDescent="0.25">
      <c r="A244" t="s">
        <v>45</v>
      </c>
      <c r="B244" t="s">
        <v>455</v>
      </c>
      <c r="M244" s="32" t="s">
        <v>105</v>
      </c>
    </row>
    <row r="245" spans="1:16" x14ac:dyDescent="0.25">
      <c r="A245" t="s">
        <v>45</v>
      </c>
      <c r="B245" t="s">
        <v>456</v>
      </c>
      <c r="N245" s="32" t="s">
        <v>105</v>
      </c>
    </row>
    <row r="246" spans="1:16" x14ac:dyDescent="0.25">
      <c r="A246" t="s">
        <v>45</v>
      </c>
      <c r="B246" t="s">
        <v>1705</v>
      </c>
      <c r="O246" s="32" t="s">
        <v>105</v>
      </c>
      <c r="P246" s="32" t="s">
        <v>256</v>
      </c>
    </row>
    <row r="247" spans="1:16" x14ac:dyDescent="0.25">
      <c r="A247" t="s">
        <v>45</v>
      </c>
      <c r="B247" t="s">
        <v>465</v>
      </c>
      <c r="N247" s="32" t="s">
        <v>105</v>
      </c>
    </row>
    <row r="248" spans="1:16" x14ac:dyDescent="0.25">
      <c r="A248" t="s">
        <v>45</v>
      </c>
      <c r="B248" t="s">
        <v>477</v>
      </c>
      <c r="N248" s="32" t="s">
        <v>105</v>
      </c>
    </row>
    <row r="249" spans="1:16" x14ac:dyDescent="0.25">
      <c r="A249" t="s">
        <v>45</v>
      </c>
      <c r="B249" t="s">
        <v>478</v>
      </c>
      <c r="H249" s="32" t="s">
        <v>105</v>
      </c>
    </row>
    <row r="250" spans="1:16" x14ac:dyDescent="0.25">
      <c r="A250" t="s">
        <v>45</v>
      </c>
      <c r="B250" t="s">
        <v>479</v>
      </c>
      <c r="G250" s="32" t="s">
        <v>105</v>
      </c>
    </row>
    <row r="251" spans="1:16" x14ac:dyDescent="0.25">
      <c r="A251" t="s">
        <v>45</v>
      </c>
      <c r="B251" t="s">
        <v>483</v>
      </c>
      <c r="C251" s="32" t="s">
        <v>105</v>
      </c>
    </row>
    <row r="252" spans="1:16" x14ac:dyDescent="0.25">
      <c r="A252" t="s">
        <v>45</v>
      </c>
      <c r="B252" t="s">
        <v>491</v>
      </c>
      <c r="H252" s="32" t="s">
        <v>105</v>
      </c>
    </row>
    <row r="253" spans="1:16" x14ac:dyDescent="0.25">
      <c r="A253" t="s">
        <v>45</v>
      </c>
      <c r="B253" t="s">
        <v>492</v>
      </c>
      <c r="H253" s="32" t="s">
        <v>105</v>
      </c>
    </row>
    <row r="254" spans="1:16" x14ac:dyDescent="0.25">
      <c r="A254" t="s">
        <v>45</v>
      </c>
      <c r="B254" t="s">
        <v>1707</v>
      </c>
      <c r="H254" s="32" t="s">
        <v>105</v>
      </c>
    </row>
    <row r="255" spans="1:16" x14ac:dyDescent="0.25">
      <c r="A255" t="s">
        <v>45</v>
      </c>
      <c r="B255" t="s">
        <v>496</v>
      </c>
      <c r="N255" s="32" t="s">
        <v>105</v>
      </c>
    </row>
    <row r="256" spans="1:16" x14ac:dyDescent="0.25">
      <c r="A256" t="s">
        <v>45</v>
      </c>
      <c r="B256" t="s">
        <v>1708</v>
      </c>
      <c r="F256" s="32" t="s">
        <v>105</v>
      </c>
    </row>
    <row r="257" spans="1:47" x14ac:dyDescent="0.25">
      <c r="A257" t="s">
        <v>45</v>
      </c>
      <c r="B257" t="s">
        <v>501</v>
      </c>
      <c r="F257" s="32" t="s">
        <v>105</v>
      </c>
    </row>
    <row r="258" spans="1:47" x14ac:dyDescent="0.25">
      <c r="A258" t="s">
        <v>45</v>
      </c>
      <c r="B258" t="s">
        <v>505</v>
      </c>
      <c r="N258" s="32" t="s">
        <v>105</v>
      </c>
    </row>
    <row r="259" spans="1:47" x14ac:dyDescent="0.25">
      <c r="A259" t="s">
        <v>45</v>
      </c>
      <c r="B259" t="s">
        <v>506</v>
      </c>
      <c r="F259" s="32" t="s">
        <v>105</v>
      </c>
    </row>
    <row r="260" spans="1:47" s="35" customFormat="1" ht="30" x14ac:dyDescent="0.25">
      <c r="A260" s="35" t="s">
        <v>45</v>
      </c>
      <c r="B260" s="35" t="s">
        <v>1709</v>
      </c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 t="s">
        <v>105</v>
      </c>
      <c r="P260" s="37" t="s">
        <v>1710</v>
      </c>
      <c r="Q260" s="38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40"/>
    </row>
    <row r="261" spans="1:47" x14ac:dyDescent="0.25">
      <c r="A261" t="s">
        <v>45</v>
      </c>
      <c r="B261" t="s">
        <v>508</v>
      </c>
      <c r="N261" s="32" t="s">
        <v>105</v>
      </c>
    </row>
    <row r="262" spans="1:47" x14ac:dyDescent="0.25">
      <c r="A262" t="s">
        <v>45</v>
      </c>
      <c r="B262" t="s">
        <v>510</v>
      </c>
      <c r="M262" s="32" t="s">
        <v>105</v>
      </c>
    </row>
    <row r="263" spans="1:47" x14ac:dyDescent="0.25">
      <c r="A263" t="s">
        <v>45</v>
      </c>
      <c r="B263" t="s">
        <v>512</v>
      </c>
      <c r="N263" s="32" t="s">
        <v>105</v>
      </c>
    </row>
    <row r="264" spans="1:47" x14ac:dyDescent="0.25">
      <c r="A264" t="s">
        <v>45</v>
      </c>
      <c r="B264" t="s">
        <v>514</v>
      </c>
      <c r="M264" s="32" t="s">
        <v>105</v>
      </c>
    </row>
    <row r="265" spans="1:47" x14ac:dyDescent="0.25">
      <c r="A265" t="s">
        <v>45</v>
      </c>
      <c r="B265" t="s">
        <v>515</v>
      </c>
      <c r="F265" s="32" t="s">
        <v>105</v>
      </c>
      <c r="H265" s="32" t="s">
        <v>105</v>
      </c>
    </row>
    <row r="266" spans="1:47" x14ac:dyDescent="0.25">
      <c r="A266" t="s">
        <v>45</v>
      </c>
      <c r="B266" t="s">
        <v>1712</v>
      </c>
      <c r="H266" s="32" t="s">
        <v>105</v>
      </c>
    </row>
    <row r="267" spans="1:47" x14ac:dyDescent="0.25">
      <c r="A267" t="s">
        <v>45</v>
      </c>
      <c r="B267" t="s">
        <v>1716</v>
      </c>
      <c r="N267" s="32" t="s">
        <v>105</v>
      </c>
    </row>
    <row r="268" spans="1:47" x14ac:dyDescent="0.25">
      <c r="A268" t="s">
        <v>45</v>
      </c>
      <c r="B268" t="s">
        <v>1717</v>
      </c>
      <c r="N268" s="32" t="s">
        <v>105</v>
      </c>
    </row>
    <row r="269" spans="1:47" x14ac:dyDescent="0.25">
      <c r="A269" t="s">
        <v>45</v>
      </c>
      <c r="B269" t="s">
        <v>116</v>
      </c>
      <c r="N269" s="32" t="s">
        <v>105</v>
      </c>
    </row>
    <row r="270" spans="1:47" x14ac:dyDescent="0.25">
      <c r="A270" t="s">
        <v>45</v>
      </c>
      <c r="B270" t="s">
        <v>120</v>
      </c>
      <c r="N270" s="32" t="s">
        <v>105</v>
      </c>
    </row>
    <row r="271" spans="1:47" x14ac:dyDescent="0.25">
      <c r="A271" t="s">
        <v>45</v>
      </c>
      <c r="B271" t="s">
        <v>136</v>
      </c>
      <c r="H271" s="32" t="s">
        <v>105</v>
      </c>
    </row>
    <row r="272" spans="1:47" x14ac:dyDescent="0.25">
      <c r="A272" t="s">
        <v>45</v>
      </c>
      <c r="B272" t="s">
        <v>138</v>
      </c>
      <c r="O272" s="32" t="s">
        <v>105</v>
      </c>
      <c r="P272" s="32" t="s">
        <v>122</v>
      </c>
    </row>
    <row r="273" spans="1:47" x14ac:dyDescent="0.25">
      <c r="A273" t="s">
        <v>45</v>
      </c>
      <c r="B273" t="s">
        <v>319</v>
      </c>
      <c r="N273" s="32" t="s">
        <v>105</v>
      </c>
    </row>
    <row r="274" spans="1:47" x14ac:dyDescent="0.25">
      <c r="A274" t="s">
        <v>45</v>
      </c>
      <c r="B274" t="s">
        <v>411</v>
      </c>
      <c r="N274" s="32" t="s">
        <v>105</v>
      </c>
    </row>
    <row r="275" spans="1:47" x14ac:dyDescent="0.25">
      <c r="A275" t="s">
        <v>45</v>
      </c>
      <c r="B275" t="s">
        <v>423</v>
      </c>
      <c r="H275" s="32" t="s">
        <v>105</v>
      </c>
      <c r="N275" s="32" t="s">
        <v>105</v>
      </c>
    </row>
    <row r="276" spans="1:47" x14ac:dyDescent="0.25">
      <c r="A276" t="s">
        <v>45</v>
      </c>
      <c r="B276" t="s">
        <v>446</v>
      </c>
      <c r="M276" s="32" t="s">
        <v>105</v>
      </c>
    </row>
    <row r="277" spans="1:47" s="35" customFormat="1" ht="30" x14ac:dyDescent="0.25">
      <c r="A277" s="35" t="s">
        <v>45</v>
      </c>
      <c r="B277" s="35" t="s">
        <v>1731</v>
      </c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 t="s">
        <v>105</v>
      </c>
      <c r="P277" s="37" t="s">
        <v>1754</v>
      </c>
      <c r="Q277" s="38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40"/>
    </row>
    <row r="278" spans="1:47" x14ac:dyDescent="0.25">
      <c r="A278" t="s">
        <v>46</v>
      </c>
      <c r="B278" t="s">
        <v>388</v>
      </c>
      <c r="F278" s="32" t="s">
        <v>105</v>
      </c>
      <c r="H278" s="32" t="s">
        <v>105</v>
      </c>
    </row>
    <row r="279" spans="1:47" x14ac:dyDescent="0.25">
      <c r="A279" t="s">
        <v>47</v>
      </c>
      <c r="B279" t="s">
        <v>366</v>
      </c>
      <c r="M279" s="32" t="s">
        <v>105</v>
      </c>
    </row>
    <row r="280" spans="1:47" x14ac:dyDescent="0.25">
      <c r="A280" t="s">
        <v>47</v>
      </c>
      <c r="B280" t="s">
        <v>370</v>
      </c>
      <c r="H280" s="32" t="s">
        <v>105</v>
      </c>
    </row>
    <row r="281" spans="1:47" x14ac:dyDescent="0.25">
      <c r="A281" t="s">
        <v>47</v>
      </c>
      <c r="B281" t="s">
        <v>400</v>
      </c>
      <c r="G281" s="32" t="s">
        <v>105</v>
      </c>
    </row>
    <row r="282" spans="1:47" s="35" customFormat="1" ht="30" x14ac:dyDescent="0.25">
      <c r="A282" s="35" t="s">
        <v>47</v>
      </c>
      <c r="B282" s="35" t="s">
        <v>486</v>
      </c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 t="s">
        <v>105</v>
      </c>
      <c r="P282" s="37" t="s">
        <v>485</v>
      </c>
      <c r="Q282" s="38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40"/>
    </row>
    <row r="283" spans="1:47" x14ac:dyDescent="0.25">
      <c r="A283" t="s">
        <v>19</v>
      </c>
      <c r="B283" t="s">
        <v>1750</v>
      </c>
      <c r="G283" s="32" t="s">
        <v>105</v>
      </c>
    </row>
    <row r="284" spans="1:47" x14ac:dyDescent="0.25">
      <c r="A284" t="s">
        <v>48</v>
      </c>
      <c r="B284" t="s">
        <v>133</v>
      </c>
      <c r="N284" s="32" t="s">
        <v>105</v>
      </c>
    </row>
    <row r="285" spans="1:47" x14ac:dyDescent="0.25">
      <c r="A285" t="s">
        <v>49</v>
      </c>
      <c r="B285" t="s">
        <v>1752</v>
      </c>
      <c r="G285" s="32" t="s">
        <v>105</v>
      </c>
    </row>
    <row r="286" spans="1:47" x14ac:dyDescent="0.25">
      <c r="A286" t="s">
        <v>49</v>
      </c>
      <c r="B286" t="s">
        <v>533</v>
      </c>
      <c r="G286" s="32" t="s">
        <v>105</v>
      </c>
    </row>
    <row r="287" spans="1:47" x14ac:dyDescent="0.25">
      <c r="A287" t="s">
        <v>50</v>
      </c>
      <c r="B287" t="s">
        <v>108</v>
      </c>
      <c r="M287" s="32" t="s">
        <v>105</v>
      </c>
    </row>
    <row r="288" spans="1:47" x14ac:dyDescent="0.25">
      <c r="A288" t="s">
        <v>50</v>
      </c>
      <c r="B288" t="s">
        <v>111</v>
      </c>
      <c r="N288" s="32" t="s">
        <v>105</v>
      </c>
    </row>
    <row r="289" spans="1:14" x14ac:dyDescent="0.25">
      <c r="A289" t="s">
        <v>50</v>
      </c>
      <c r="B289" t="s">
        <v>135</v>
      </c>
      <c r="M289" s="32" t="s">
        <v>105</v>
      </c>
    </row>
    <row r="290" spans="1:14" x14ac:dyDescent="0.25">
      <c r="A290" t="s">
        <v>50</v>
      </c>
      <c r="B290" t="s">
        <v>137</v>
      </c>
      <c r="M290" s="32" t="s">
        <v>105</v>
      </c>
    </row>
    <row r="291" spans="1:14" x14ac:dyDescent="0.25">
      <c r="A291" t="s">
        <v>50</v>
      </c>
      <c r="B291" t="s">
        <v>140</v>
      </c>
      <c r="M291" s="32" t="s">
        <v>105</v>
      </c>
    </row>
    <row r="292" spans="1:14" x14ac:dyDescent="0.25">
      <c r="A292" t="s">
        <v>50</v>
      </c>
      <c r="B292" t="s">
        <v>142</v>
      </c>
      <c r="J292" s="32" t="s">
        <v>105</v>
      </c>
    </row>
    <row r="293" spans="1:14" x14ac:dyDescent="0.25">
      <c r="A293" t="s">
        <v>50</v>
      </c>
      <c r="B293" t="s">
        <v>1690</v>
      </c>
      <c r="H293" s="32" t="s">
        <v>105</v>
      </c>
    </row>
    <row r="294" spans="1:14" x14ac:dyDescent="0.25">
      <c r="A294" t="s">
        <v>50</v>
      </c>
      <c r="B294" t="s">
        <v>1691</v>
      </c>
      <c r="H294" s="32" t="s">
        <v>105</v>
      </c>
    </row>
    <row r="295" spans="1:14" x14ac:dyDescent="0.25">
      <c r="A295" t="s">
        <v>50</v>
      </c>
      <c r="B295" t="s">
        <v>144</v>
      </c>
      <c r="N295" s="32" t="s">
        <v>105</v>
      </c>
    </row>
    <row r="296" spans="1:14" x14ac:dyDescent="0.25">
      <c r="A296" t="s">
        <v>50</v>
      </c>
      <c r="B296" t="s">
        <v>146</v>
      </c>
      <c r="M296" s="32" t="s">
        <v>105</v>
      </c>
    </row>
    <row r="297" spans="1:14" x14ac:dyDescent="0.25">
      <c r="A297" t="s">
        <v>50</v>
      </c>
      <c r="B297" t="s">
        <v>149</v>
      </c>
      <c r="M297" s="32" t="s">
        <v>105</v>
      </c>
    </row>
    <row r="298" spans="1:14" x14ac:dyDescent="0.25">
      <c r="A298" t="s">
        <v>50</v>
      </c>
      <c r="B298" t="s">
        <v>151</v>
      </c>
      <c r="M298" s="32" t="s">
        <v>105</v>
      </c>
    </row>
    <row r="299" spans="1:14" x14ac:dyDescent="0.25">
      <c r="A299" t="s">
        <v>50</v>
      </c>
      <c r="B299" t="s">
        <v>152</v>
      </c>
      <c r="N299" s="32" t="s">
        <v>105</v>
      </c>
    </row>
    <row r="300" spans="1:14" x14ac:dyDescent="0.25">
      <c r="A300" t="s">
        <v>50</v>
      </c>
      <c r="B300" t="s">
        <v>154</v>
      </c>
      <c r="J300" s="32" t="s">
        <v>105</v>
      </c>
    </row>
    <row r="301" spans="1:14" x14ac:dyDescent="0.25">
      <c r="A301" t="s">
        <v>50</v>
      </c>
      <c r="B301" t="s">
        <v>155</v>
      </c>
      <c r="J301" s="32" t="s">
        <v>105</v>
      </c>
    </row>
    <row r="302" spans="1:14" x14ac:dyDescent="0.25">
      <c r="A302" t="s">
        <v>50</v>
      </c>
      <c r="B302" t="s">
        <v>158</v>
      </c>
      <c r="M302" s="32" t="s">
        <v>105</v>
      </c>
    </row>
    <row r="303" spans="1:14" x14ac:dyDescent="0.25">
      <c r="A303" t="s">
        <v>50</v>
      </c>
      <c r="B303" t="s">
        <v>162</v>
      </c>
      <c r="M303" s="32" t="s">
        <v>105</v>
      </c>
    </row>
    <row r="304" spans="1:14" x14ac:dyDescent="0.25">
      <c r="A304" t="s">
        <v>50</v>
      </c>
      <c r="B304" t="s">
        <v>163</v>
      </c>
      <c r="M304" s="32" t="s">
        <v>105</v>
      </c>
    </row>
    <row r="305" spans="1:14" x14ac:dyDescent="0.25">
      <c r="A305" t="s">
        <v>50</v>
      </c>
      <c r="B305" t="s">
        <v>167</v>
      </c>
      <c r="H305" s="32" t="s">
        <v>105</v>
      </c>
    </row>
    <row r="306" spans="1:14" x14ac:dyDescent="0.25">
      <c r="A306" t="s">
        <v>50</v>
      </c>
      <c r="B306" t="s">
        <v>174</v>
      </c>
      <c r="M306" s="32" t="s">
        <v>105</v>
      </c>
    </row>
    <row r="307" spans="1:14" x14ac:dyDescent="0.25">
      <c r="A307" t="s">
        <v>50</v>
      </c>
      <c r="B307" t="s">
        <v>1692</v>
      </c>
      <c r="M307" s="32" t="s">
        <v>105</v>
      </c>
    </row>
    <row r="308" spans="1:14" x14ac:dyDescent="0.25">
      <c r="A308" t="s">
        <v>50</v>
      </c>
      <c r="B308" t="s">
        <v>190</v>
      </c>
      <c r="M308" s="32" t="s">
        <v>105</v>
      </c>
    </row>
    <row r="309" spans="1:14" x14ac:dyDescent="0.25">
      <c r="A309" t="s">
        <v>50</v>
      </c>
      <c r="B309" t="s">
        <v>197</v>
      </c>
      <c r="M309" s="32" t="s">
        <v>105</v>
      </c>
    </row>
    <row r="310" spans="1:14" x14ac:dyDescent="0.25">
      <c r="A310" t="s">
        <v>50</v>
      </c>
      <c r="B310" t="s">
        <v>198</v>
      </c>
      <c r="M310" s="32" t="s">
        <v>105</v>
      </c>
    </row>
    <row r="311" spans="1:14" x14ac:dyDescent="0.25">
      <c r="A311" t="s">
        <v>50</v>
      </c>
      <c r="B311" t="s">
        <v>199</v>
      </c>
      <c r="J311" s="32" t="s">
        <v>105</v>
      </c>
      <c r="M311" s="32" t="s">
        <v>105</v>
      </c>
    </row>
    <row r="312" spans="1:14" x14ac:dyDescent="0.25">
      <c r="A312" t="s">
        <v>50</v>
      </c>
      <c r="B312" t="s">
        <v>200</v>
      </c>
      <c r="M312" s="32" t="s">
        <v>105</v>
      </c>
    </row>
    <row r="313" spans="1:14" x14ac:dyDescent="0.25">
      <c r="A313" t="s">
        <v>50</v>
      </c>
      <c r="B313" t="s">
        <v>1693</v>
      </c>
      <c r="M313" s="32" t="s">
        <v>105</v>
      </c>
    </row>
    <row r="314" spans="1:14" x14ac:dyDescent="0.25">
      <c r="A314" t="s">
        <v>50</v>
      </c>
      <c r="B314" t="s">
        <v>1694</v>
      </c>
      <c r="M314" s="32" t="s">
        <v>105</v>
      </c>
    </row>
    <row r="315" spans="1:14" x14ac:dyDescent="0.25">
      <c r="A315" t="s">
        <v>50</v>
      </c>
      <c r="B315" t="s">
        <v>203</v>
      </c>
      <c r="N315" s="32" t="s">
        <v>105</v>
      </c>
    </row>
    <row r="316" spans="1:14" x14ac:dyDescent="0.25">
      <c r="A316" t="s">
        <v>50</v>
      </c>
      <c r="B316" t="s">
        <v>204</v>
      </c>
      <c r="M316" s="32" t="s">
        <v>105</v>
      </c>
    </row>
    <row r="317" spans="1:14" x14ac:dyDescent="0.25">
      <c r="A317" t="s">
        <v>50</v>
      </c>
      <c r="B317" t="s">
        <v>205</v>
      </c>
      <c r="M317" s="32" t="s">
        <v>105</v>
      </c>
    </row>
    <row r="318" spans="1:14" x14ac:dyDescent="0.25">
      <c r="A318" t="s">
        <v>50</v>
      </c>
      <c r="B318" t="s">
        <v>207</v>
      </c>
      <c r="M318" s="32" t="s">
        <v>105</v>
      </c>
    </row>
    <row r="319" spans="1:14" x14ac:dyDescent="0.25">
      <c r="A319" t="s">
        <v>50</v>
      </c>
      <c r="B319" t="s">
        <v>212</v>
      </c>
      <c r="M319" s="32" t="s">
        <v>105</v>
      </c>
    </row>
    <row r="320" spans="1:14" x14ac:dyDescent="0.25">
      <c r="A320" t="s">
        <v>50</v>
      </c>
      <c r="B320" t="s">
        <v>215</v>
      </c>
      <c r="M320" s="32" t="s">
        <v>105</v>
      </c>
    </row>
    <row r="321" spans="1:14" x14ac:dyDescent="0.25">
      <c r="A321" t="s">
        <v>50</v>
      </c>
      <c r="B321" t="s">
        <v>216</v>
      </c>
      <c r="G321" s="32" t="s">
        <v>105</v>
      </c>
    </row>
    <row r="322" spans="1:14" x14ac:dyDescent="0.25">
      <c r="A322" t="s">
        <v>50</v>
      </c>
      <c r="B322" t="s">
        <v>218</v>
      </c>
      <c r="N322" s="32" t="s">
        <v>105</v>
      </c>
    </row>
    <row r="323" spans="1:14" x14ac:dyDescent="0.25">
      <c r="A323" t="s">
        <v>50</v>
      </c>
      <c r="B323" t="s">
        <v>227</v>
      </c>
      <c r="M323" s="32" t="s">
        <v>105</v>
      </c>
    </row>
    <row r="324" spans="1:14" x14ac:dyDescent="0.25">
      <c r="A324" t="s">
        <v>50</v>
      </c>
      <c r="B324" t="s">
        <v>235</v>
      </c>
      <c r="H324" s="32" t="s">
        <v>105</v>
      </c>
      <c r="M324" s="32" t="s">
        <v>105</v>
      </c>
    </row>
    <row r="325" spans="1:14" x14ac:dyDescent="0.25">
      <c r="A325" t="s">
        <v>50</v>
      </c>
      <c r="B325" t="s">
        <v>236</v>
      </c>
      <c r="M325" s="32" t="s">
        <v>105</v>
      </c>
    </row>
    <row r="326" spans="1:14" x14ac:dyDescent="0.25">
      <c r="A326" t="s">
        <v>50</v>
      </c>
      <c r="B326" t="s">
        <v>237</v>
      </c>
      <c r="J326" s="32" t="s">
        <v>105</v>
      </c>
      <c r="M326" s="32" t="s">
        <v>105</v>
      </c>
    </row>
    <row r="327" spans="1:14" x14ac:dyDescent="0.25">
      <c r="A327" t="s">
        <v>50</v>
      </c>
      <c r="B327" t="s">
        <v>241</v>
      </c>
      <c r="H327" s="32" t="s">
        <v>105</v>
      </c>
    </row>
    <row r="328" spans="1:14" x14ac:dyDescent="0.25">
      <c r="A328" t="s">
        <v>50</v>
      </c>
      <c r="B328" t="s">
        <v>249</v>
      </c>
      <c r="H328" s="32" t="s">
        <v>105</v>
      </c>
      <c r="J328" s="32" t="s">
        <v>105</v>
      </c>
      <c r="M328" s="32" t="s">
        <v>105</v>
      </c>
    </row>
    <row r="329" spans="1:14" x14ac:dyDescent="0.25">
      <c r="A329" t="s">
        <v>50</v>
      </c>
      <c r="B329" t="s">
        <v>250</v>
      </c>
      <c r="H329" s="32" t="s">
        <v>105</v>
      </c>
    </row>
    <row r="330" spans="1:14" x14ac:dyDescent="0.25">
      <c r="A330" t="s">
        <v>50</v>
      </c>
      <c r="B330" t="s">
        <v>259</v>
      </c>
      <c r="M330" s="32" t="s">
        <v>105</v>
      </c>
    </row>
    <row r="331" spans="1:14" x14ac:dyDescent="0.25">
      <c r="A331" t="s">
        <v>50</v>
      </c>
      <c r="B331" t="s">
        <v>260</v>
      </c>
      <c r="G331" s="32" t="s">
        <v>105</v>
      </c>
    </row>
    <row r="332" spans="1:14" x14ac:dyDescent="0.25">
      <c r="A332" t="s">
        <v>50</v>
      </c>
      <c r="B332" t="s">
        <v>281</v>
      </c>
      <c r="M332" s="32" t="s">
        <v>105</v>
      </c>
    </row>
    <row r="333" spans="1:14" x14ac:dyDescent="0.25">
      <c r="A333" t="s">
        <v>50</v>
      </c>
      <c r="B333" t="s">
        <v>285</v>
      </c>
      <c r="M333" s="32" t="s">
        <v>105</v>
      </c>
    </row>
    <row r="334" spans="1:14" x14ac:dyDescent="0.25">
      <c r="A334" t="s">
        <v>50</v>
      </c>
      <c r="B334" t="s">
        <v>1697</v>
      </c>
      <c r="M334" s="32" t="s">
        <v>105</v>
      </c>
    </row>
    <row r="335" spans="1:14" x14ac:dyDescent="0.25">
      <c r="A335" t="s">
        <v>50</v>
      </c>
      <c r="B335" t="s">
        <v>290</v>
      </c>
      <c r="M335" s="32" t="s">
        <v>105</v>
      </c>
    </row>
    <row r="336" spans="1:14" x14ac:dyDescent="0.25">
      <c r="A336" t="s">
        <v>50</v>
      </c>
      <c r="B336" t="s">
        <v>292</v>
      </c>
      <c r="M336" s="32" t="s">
        <v>105</v>
      </c>
    </row>
    <row r="337" spans="1:16" x14ac:dyDescent="0.25">
      <c r="A337" t="s">
        <v>50</v>
      </c>
      <c r="B337" t="s">
        <v>295</v>
      </c>
      <c r="M337" s="32" t="s">
        <v>105</v>
      </c>
    </row>
    <row r="338" spans="1:16" x14ac:dyDescent="0.25">
      <c r="A338" t="s">
        <v>50</v>
      </c>
      <c r="B338" t="s">
        <v>296</v>
      </c>
      <c r="G338" s="32" t="s">
        <v>105</v>
      </c>
    </row>
    <row r="339" spans="1:16" x14ac:dyDescent="0.25">
      <c r="A339" t="s">
        <v>50</v>
      </c>
      <c r="B339" t="s">
        <v>298</v>
      </c>
      <c r="M339" s="32" t="s">
        <v>105</v>
      </c>
    </row>
    <row r="340" spans="1:16" x14ac:dyDescent="0.25">
      <c r="A340" t="s">
        <v>50</v>
      </c>
      <c r="B340" t="s">
        <v>301</v>
      </c>
      <c r="N340" s="32" t="s">
        <v>105</v>
      </c>
    </row>
    <row r="341" spans="1:16" x14ac:dyDescent="0.25">
      <c r="A341" t="s">
        <v>50</v>
      </c>
      <c r="B341" t="s">
        <v>302</v>
      </c>
      <c r="J341" s="32" t="s">
        <v>105</v>
      </c>
    </row>
    <row r="342" spans="1:16" x14ac:dyDescent="0.25">
      <c r="A342" t="s">
        <v>50</v>
      </c>
      <c r="B342" t="s">
        <v>303</v>
      </c>
      <c r="H342" s="32" t="s">
        <v>105</v>
      </c>
    </row>
    <row r="343" spans="1:16" x14ac:dyDescent="0.25">
      <c r="A343" t="s">
        <v>50</v>
      </c>
      <c r="B343" t="s">
        <v>511</v>
      </c>
      <c r="N343" s="32" t="s">
        <v>105</v>
      </c>
    </row>
    <row r="344" spans="1:16" x14ac:dyDescent="0.25">
      <c r="A344" t="s">
        <v>50</v>
      </c>
      <c r="B344" t="s">
        <v>310</v>
      </c>
      <c r="M344" s="32" t="s">
        <v>105</v>
      </c>
    </row>
    <row r="345" spans="1:16" x14ac:dyDescent="0.25">
      <c r="A345" t="s">
        <v>50</v>
      </c>
      <c r="B345" t="s">
        <v>313</v>
      </c>
      <c r="O345" s="32" t="s">
        <v>105</v>
      </c>
      <c r="P345" s="32" t="s">
        <v>314</v>
      </c>
    </row>
    <row r="346" spans="1:16" x14ac:dyDescent="0.25">
      <c r="A346" t="s">
        <v>50</v>
      </c>
      <c r="B346" t="s">
        <v>318</v>
      </c>
      <c r="M346" s="32" t="s">
        <v>105</v>
      </c>
    </row>
    <row r="347" spans="1:16" x14ac:dyDescent="0.25">
      <c r="A347" t="s">
        <v>50</v>
      </c>
      <c r="B347" t="s">
        <v>320</v>
      </c>
      <c r="E347" s="32" t="s">
        <v>105</v>
      </c>
      <c r="G347" s="32" t="s">
        <v>105</v>
      </c>
    </row>
    <row r="348" spans="1:16" x14ac:dyDescent="0.25">
      <c r="A348" t="s">
        <v>50</v>
      </c>
      <c r="B348" t="s">
        <v>321</v>
      </c>
      <c r="M348" s="32" t="s">
        <v>105</v>
      </c>
    </row>
    <row r="349" spans="1:16" x14ac:dyDescent="0.25">
      <c r="A349" t="s">
        <v>50</v>
      </c>
      <c r="B349" t="s">
        <v>353</v>
      </c>
      <c r="M349" s="32" t="s">
        <v>105</v>
      </c>
    </row>
    <row r="350" spans="1:16" x14ac:dyDescent="0.25">
      <c r="A350" t="s">
        <v>50</v>
      </c>
      <c r="B350" t="s">
        <v>356</v>
      </c>
      <c r="M350" s="32" t="s">
        <v>105</v>
      </c>
    </row>
    <row r="351" spans="1:16" x14ac:dyDescent="0.25">
      <c r="A351" t="s">
        <v>50</v>
      </c>
      <c r="B351" t="s">
        <v>358</v>
      </c>
      <c r="N351" s="32" t="s">
        <v>105</v>
      </c>
    </row>
    <row r="352" spans="1:16" x14ac:dyDescent="0.25">
      <c r="A352" t="s">
        <v>50</v>
      </c>
      <c r="B352" t="s">
        <v>1701</v>
      </c>
      <c r="M352" s="32" t="s">
        <v>105</v>
      </c>
    </row>
    <row r="353" spans="1:16" x14ac:dyDescent="0.25">
      <c r="A353" t="s">
        <v>50</v>
      </c>
      <c r="B353" t="s">
        <v>365</v>
      </c>
      <c r="M353" s="32" t="s">
        <v>105</v>
      </c>
    </row>
    <row r="354" spans="1:16" x14ac:dyDescent="0.25">
      <c r="A354" t="s">
        <v>50</v>
      </c>
      <c r="B354" t="s">
        <v>368</v>
      </c>
      <c r="N354" s="32" t="s">
        <v>105</v>
      </c>
    </row>
    <row r="355" spans="1:16" x14ac:dyDescent="0.25">
      <c r="A355" t="s">
        <v>50</v>
      </c>
      <c r="B355" t="s">
        <v>369</v>
      </c>
      <c r="C355" s="32" t="s">
        <v>105</v>
      </c>
      <c r="D355" s="32" t="s">
        <v>105</v>
      </c>
      <c r="G355" s="32" t="s">
        <v>105</v>
      </c>
      <c r="M355" s="32" t="s">
        <v>105</v>
      </c>
    </row>
    <row r="356" spans="1:16" x14ac:dyDescent="0.25">
      <c r="A356" t="s">
        <v>50</v>
      </c>
      <c r="B356" t="s">
        <v>379</v>
      </c>
      <c r="O356" s="32" t="s">
        <v>105</v>
      </c>
      <c r="P356" s="32" t="s">
        <v>122</v>
      </c>
    </row>
    <row r="357" spans="1:16" x14ac:dyDescent="0.25">
      <c r="A357" t="s">
        <v>50</v>
      </c>
      <c r="B357" t="s">
        <v>383</v>
      </c>
      <c r="O357" s="32" t="s">
        <v>105</v>
      </c>
      <c r="P357" s="32" t="s">
        <v>122</v>
      </c>
    </row>
    <row r="358" spans="1:16" x14ac:dyDescent="0.25">
      <c r="A358" t="s">
        <v>50</v>
      </c>
      <c r="B358" t="s">
        <v>386</v>
      </c>
      <c r="C358" s="32" t="s">
        <v>105</v>
      </c>
      <c r="D358" s="32" t="s">
        <v>105</v>
      </c>
      <c r="H358" s="32" t="s">
        <v>105</v>
      </c>
      <c r="O358" s="32" t="s">
        <v>105</v>
      </c>
      <c r="P358" s="32" t="s">
        <v>387</v>
      </c>
    </row>
    <row r="359" spans="1:16" x14ac:dyDescent="0.25">
      <c r="A359" t="s">
        <v>50</v>
      </c>
      <c r="B359" t="s">
        <v>394</v>
      </c>
      <c r="M359" s="32" t="s">
        <v>105</v>
      </c>
    </row>
    <row r="360" spans="1:16" x14ac:dyDescent="0.25">
      <c r="A360" t="s">
        <v>50</v>
      </c>
      <c r="B360" t="s">
        <v>397</v>
      </c>
      <c r="H360" s="32" t="s">
        <v>105</v>
      </c>
    </row>
    <row r="361" spans="1:16" x14ac:dyDescent="0.25">
      <c r="A361" t="s">
        <v>50</v>
      </c>
      <c r="B361" t="s">
        <v>404</v>
      </c>
      <c r="N361" s="32" t="s">
        <v>105</v>
      </c>
    </row>
    <row r="362" spans="1:16" x14ac:dyDescent="0.25">
      <c r="A362" t="s">
        <v>50</v>
      </c>
      <c r="B362" t="s">
        <v>1703</v>
      </c>
      <c r="M362" s="32" t="s">
        <v>105</v>
      </c>
    </row>
    <row r="363" spans="1:16" x14ac:dyDescent="0.25">
      <c r="A363" t="s">
        <v>50</v>
      </c>
      <c r="B363" t="s">
        <v>412</v>
      </c>
      <c r="G363" s="32" t="s">
        <v>105</v>
      </c>
      <c r="H363" s="32" t="s">
        <v>105</v>
      </c>
    </row>
    <row r="364" spans="1:16" x14ac:dyDescent="0.25">
      <c r="A364" t="s">
        <v>50</v>
      </c>
      <c r="B364" t="s">
        <v>418</v>
      </c>
      <c r="D364" s="32" t="s">
        <v>105</v>
      </c>
      <c r="G364" s="32" t="s">
        <v>105</v>
      </c>
      <c r="H364" s="32" t="s">
        <v>105</v>
      </c>
      <c r="M364" s="32" t="s">
        <v>105</v>
      </c>
    </row>
    <row r="365" spans="1:16" x14ac:dyDescent="0.25">
      <c r="A365" t="s">
        <v>50</v>
      </c>
      <c r="B365" t="s">
        <v>426</v>
      </c>
      <c r="F365" s="32" t="s">
        <v>105</v>
      </c>
    </row>
    <row r="366" spans="1:16" x14ac:dyDescent="0.25">
      <c r="A366" t="s">
        <v>50</v>
      </c>
      <c r="B366" t="s">
        <v>427</v>
      </c>
      <c r="M366" s="32" t="s">
        <v>105</v>
      </c>
    </row>
    <row r="367" spans="1:16" x14ac:dyDescent="0.25">
      <c r="A367" t="s">
        <v>50</v>
      </c>
      <c r="B367" t="s">
        <v>429</v>
      </c>
      <c r="M367" s="32" t="s">
        <v>105</v>
      </c>
    </row>
    <row r="368" spans="1:16" x14ac:dyDescent="0.25">
      <c r="A368" t="s">
        <v>50</v>
      </c>
      <c r="B368" t="s">
        <v>1704</v>
      </c>
      <c r="G368" s="32" t="s">
        <v>105</v>
      </c>
      <c r="M368" s="32" t="s">
        <v>105</v>
      </c>
    </row>
    <row r="369" spans="1:16" x14ac:dyDescent="0.25">
      <c r="A369" t="s">
        <v>50</v>
      </c>
      <c r="B369" t="s">
        <v>1706</v>
      </c>
      <c r="M369" s="32" t="s">
        <v>105</v>
      </c>
    </row>
    <row r="370" spans="1:16" x14ac:dyDescent="0.25">
      <c r="A370" t="s">
        <v>50</v>
      </c>
      <c r="B370" t="s">
        <v>463</v>
      </c>
      <c r="M370" s="32" t="s">
        <v>105</v>
      </c>
    </row>
    <row r="371" spans="1:16" x14ac:dyDescent="0.25">
      <c r="A371" t="s">
        <v>50</v>
      </c>
      <c r="B371" t="s">
        <v>464</v>
      </c>
      <c r="M371" s="32" t="s">
        <v>105</v>
      </c>
    </row>
    <row r="372" spans="1:16" x14ac:dyDescent="0.25">
      <c r="A372" t="s">
        <v>50</v>
      </c>
      <c r="B372" t="s">
        <v>480</v>
      </c>
      <c r="O372" s="32" t="s">
        <v>105</v>
      </c>
      <c r="P372" s="32" t="s">
        <v>122</v>
      </c>
    </row>
    <row r="373" spans="1:16" x14ac:dyDescent="0.25">
      <c r="A373" t="s">
        <v>50</v>
      </c>
      <c r="B373" t="s">
        <v>497</v>
      </c>
      <c r="H373" s="32" t="s">
        <v>105</v>
      </c>
    </row>
    <row r="374" spans="1:16" x14ac:dyDescent="0.25">
      <c r="A374" t="s">
        <v>50</v>
      </c>
      <c r="B374" t="s">
        <v>498</v>
      </c>
      <c r="M374" s="32" t="s">
        <v>105</v>
      </c>
    </row>
    <row r="375" spans="1:16" x14ac:dyDescent="0.25">
      <c r="A375" t="s">
        <v>50</v>
      </c>
      <c r="B375" t="s">
        <v>499</v>
      </c>
      <c r="N375" s="32" t="s">
        <v>105</v>
      </c>
    </row>
    <row r="376" spans="1:16" x14ac:dyDescent="0.25">
      <c r="A376" t="s">
        <v>50</v>
      </c>
      <c r="B376" t="s">
        <v>500</v>
      </c>
      <c r="M376" s="32" t="s">
        <v>105</v>
      </c>
    </row>
    <row r="377" spans="1:16" x14ac:dyDescent="0.25">
      <c r="A377" t="s">
        <v>50</v>
      </c>
      <c r="B377" t="s">
        <v>503</v>
      </c>
      <c r="N377" s="32" t="s">
        <v>105</v>
      </c>
    </row>
    <row r="378" spans="1:16" x14ac:dyDescent="0.25">
      <c r="A378" t="s">
        <v>50</v>
      </c>
      <c r="B378" t="s">
        <v>509</v>
      </c>
      <c r="O378" s="32" t="s">
        <v>105</v>
      </c>
      <c r="P378" s="32" t="s">
        <v>122</v>
      </c>
    </row>
    <row r="379" spans="1:16" x14ac:dyDescent="0.25">
      <c r="A379" t="s">
        <v>50</v>
      </c>
      <c r="B379" t="s">
        <v>1711</v>
      </c>
      <c r="N379" s="32" t="s">
        <v>105</v>
      </c>
    </row>
    <row r="380" spans="1:16" x14ac:dyDescent="0.25">
      <c r="A380" t="s">
        <v>50</v>
      </c>
      <c r="B380" t="s">
        <v>523</v>
      </c>
      <c r="M380" s="32" t="s">
        <v>105</v>
      </c>
    </row>
    <row r="381" spans="1:16" x14ac:dyDescent="0.25">
      <c r="A381" t="s">
        <v>50</v>
      </c>
      <c r="B381" t="s">
        <v>526</v>
      </c>
      <c r="M381" s="32" t="s">
        <v>105</v>
      </c>
    </row>
    <row r="382" spans="1:16" x14ac:dyDescent="0.25">
      <c r="A382" t="s">
        <v>50</v>
      </c>
      <c r="B382" t="s">
        <v>528</v>
      </c>
      <c r="M382" s="32" t="s">
        <v>105</v>
      </c>
    </row>
    <row r="383" spans="1:16" x14ac:dyDescent="0.25">
      <c r="A383" t="s">
        <v>50</v>
      </c>
      <c r="B383" t="s">
        <v>529</v>
      </c>
      <c r="M383" s="32" t="s">
        <v>105</v>
      </c>
    </row>
    <row r="384" spans="1:16" x14ac:dyDescent="0.25">
      <c r="A384" t="s">
        <v>50</v>
      </c>
      <c r="B384" t="s">
        <v>1713</v>
      </c>
      <c r="G384" s="32" t="s">
        <v>105</v>
      </c>
    </row>
    <row r="385" spans="1:14" x14ac:dyDescent="0.25">
      <c r="A385" t="s">
        <v>50</v>
      </c>
      <c r="B385" t="s">
        <v>1714</v>
      </c>
      <c r="G385" s="32" t="s">
        <v>105</v>
      </c>
    </row>
    <row r="386" spans="1:14" x14ac:dyDescent="0.25">
      <c r="A386" t="s">
        <v>50</v>
      </c>
      <c r="B386" t="s">
        <v>1715</v>
      </c>
      <c r="G386" s="32" t="s">
        <v>105</v>
      </c>
    </row>
    <row r="387" spans="1:14" x14ac:dyDescent="0.25">
      <c r="A387" t="s">
        <v>50</v>
      </c>
      <c r="B387" t="s">
        <v>535</v>
      </c>
      <c r="M387" s="32" t="s">
        <v>105</v>
      </c>
    </row>
    <row r="388" spans="1:14" x14ac:dyDescent="0.25">
      <c r="A388" t="s">
        <v>50</v>
      </c>
      <c r="B388" t="s">
        <v>143</v>
      </c>
      <c r="J388" s="32" t="s">
        <v>105</v>
      </c>
    </row>
    <row r="389" spans="1:14" x14ac:dyDescent="0.25">
      <c r="A389" t="s">
        <v>50</v>
      </c>
      <c r="B389" t="s">
        <v>145</v>
      </c>
      <c r="J389" s="32" t="s">
        <v>105</v>
      </c>
    </row>
    <row r="390" spans="1:14" x14ac:dyDescent="0.25">
      <c r="A390" t="s">
        <v>50</v>
      </c>
      <c r="B390" t="s">
        <v>153</v>
      </c>
      <c r="J390" s="32" t="s">
        <v>105</v>
      </c>
    </row>
    <row r="391" spans="1:14" x14ac:dyDescent="0.25">
      <c r="A391" t="s">
        <v>50</v>
      </c>
      <c r="B391" t="s">
        <v>194</v>
      </c>
      <c r="N391" s="32" t="s">
        <v>105</v>
      </c>
    </row>
    <row r="392" spans="1:14" x14ac:dyDescent="0.25">
      <c r="A392" t="s">
        <v>50</v>
      </c>
      <c r="B392" t="s">
        <v>196</v>
      </c>
      <c r="N392" s="32" t="s">
        <v>105</v>
      </c>
    </row>
    <row r="393" spans="1:14" x14ac:dyDescent="0.25">
      <c r="A393" t="s">
        <v>50</v>
      </c>
      <c r="B393" t="s">
        <v>201</v>
      </c>
      <c r="J393" s="32" t="s">
        <v>105</v>
      </c>
    </row>
    <row r="394" spans="1:14" x14ac:dyDescent="0.25">
      <c r="A394" t="s">
        <v>50</v>
      </c>
      <c r="B394" t="s">
        <v>211</v>
      </c>
      <c r="M394" s="32" t="s">
        <v>105</v>
      </c>
    </row>
    <row r="395" spans="1:14" x14ac:dyDescent="0.25">
      <c r="A395" t="s">
        <v>50</v>
      </c>
      <c r="B395" t="s">
        <v>226</v>
      </c>
      <c r="M395" s="32" t="s">
        <v>105</v>
      </c>
    </row>
    <row r="396" spans="1:14" x14ac:dyDescent="0.25">
      <c r="A396" t="s">
        <v>50</v>
      </c>
      <c r="B396" t="s">
        <v>242</v>
      </c>
      <c r="H396" s="32" t="s">
        <v>105</v>
      </c>
    </row>
    <row r="397" spans="1:14" x14ac:dyDescent="0.25">
      <c r="A397" t="s">
        <v>50</v>
      </c>
      <c r="B397" t="s">
        <v>1718</v>
      </c>
      <c r="M397" s="32" t="s">
        <v>105</v>
      </c>
    </row>
    <row r="398" spans="1:14" x14ac:dyDescent="0.25">
      <c r="A398" t="s">
        <v>50</v>
      </c>
      <c r="B398" t="s">
        <v>280</v>
      </c>
      <c r="M398" s="32" t="s">
        <v>105</v>
      </c>
    </row>
    <row r="399" spans="1:14" x14ac:dyDescent="0.25">
      <c r="A399" t="s">
        <v>50</v>
      </c>
      <c r="B399" t="s">
        <v>283</v>
      </c>
      <c r="N399" s="32" t="s">
        <v>105</v>
      </c>
    </row>
    <row r="400" spans="1:14" x14ac:dyDescent="0.25">
      <c r="A400" t="s">
        <v>50</v>
      </c>
      <c r="B400" t="s">
        <v>304</v>
      </c>
      <c r="N400" s="32" t="s">
        <v>105</v>
      </c>
    </row>
    <row r="401" spans="1:14" x14ac:dyDescent="0.25">
      <c r="A401" t="s">
        <v>50</v>
      </c>
      <c r="B401" t="s">
        <v>305</v>
      </c>
      <c r="N401" s="32" t="s">
        <v>105</v>
      </c>
    </row>
    <row r="402" spans="1:14" x14ac:dyDescent="0.25">
      <c r="A402" t="s">
        <v>50</v>
      </c>
      <c r="B402" t="s">
        <v>414</v>
      </c>
      <c r="N402" s="32" t="s">
        <v>105</v>
      </c>
    </row>
    <row r="403" spans="1:14" x14ac:dyDescent="0.25">
      <c r="A403" t="s">
        <v>50</v>
      </c>
      <c r="B403" t="s">
        <v>453</v>
      </c>
      <c r="N403" s="32" t="s">
        <v>105</v>
      </c>
    </row>
    <row r="404" spans="1:14" x14ac:dyDescent="0.25">
      <c r="A404" t="s">
        <v>50</v>
      </c>
      <c r="B404" t="s">
        <v>476</v>
      </c>
      <c r="N404" s="32" t="s">
        <v>105</v>
      </c>
    </row>
    <row r="405" spans="1:14" x14ac:dyDescent="0.25">
      <c r="A405" t="s">
        <v>50</v>
      </c>
      <c r="B405" t="s">
        <v>169</v>
      </c>
      <c r="M405" s="32" t="s">
        <v>105</v>
      </c>
    </row>
    <row r="406" spans="1:14" x14ac:dyDescent="0.25">
      <c r="A406" t="s">
        <v>50</v>
      </c>
      <c r="B406" t="s">
        <v>180</v>
      </c>
      <c r="M406" s="32" t="s">
        <v>105</v>
      </c>
    </row>
    <row r="407" spans="1:14" x14ac:dyDescent="0.25">
      <c r="A407" t="s">
        <v>50</v>
      </c>
      <c r="B407" t="s">
        <v>188</v>
      </c>
      <c r="M407" s="32" t="s">
        <v>105</v>
      </c>
    </row>
    <row r="408" spans="1:14" x14ac:dyDescent="0.25">
      <c r="A408" t="s">
        <v>50</v>
      </c>
      <c r="B408" t="s">
        <v>206</v>
      </c>
      <c r="M408" s="32" t="s">
        <v>105</v>
      </c>
    </row>
    <row r="409" spans="1:14" x14ac:dyDescent="0.25">
      <c r="A409" t="s">
        <v>50</v>
      </c>
      <c r="B409" t="s">
        <v>208</v>
      </c>
      <c r="M409" s="32" t="s">
        <v>105</v>
      </c>
    </row>
    <row r="410" spans="1:14" x14ac:dyDescent="0.25">
      <c r="A410" t="s">
        <v>50</v>
      </c>
      <c r="B410" t="s">
        <v>230</v>
      </c>
      <c r="M410" s="32" t="s">
        <v>105</v>
      </c>
    </row>
    <row r="411" spans="1:14" x14ac:dyDescent="0.25">
      <c r="A411" t="s">
        <v>50</v>
      </c>
      <c r="B411" t="s">
        <v>293</v>
      </c>
      <c r="M411" s="32" t="s">
        <v>105</v>
      </c>
    </row>
    <row r="412" spans="1:14" x14ac:dyDescent="0.25">
      <c r="A412" t="s">
        <v>50</v>
      </c>
      <c r="B412" t="s">
        <v>348</v>
      </c>
      <c r="J412" s="32" t="s">
        <v>105</v>
      </c>
      <c r="M412" s="32" t="s">
        <v>105</v>
      </c>
    </row>
    <row r="413" spans="1:14" x14ac:dyDescent="0.25">
      <c r="A413" t="s">
        <v>50</v>
      </c>
      <c r="B413" t="s">
        <v>374</v>
      </c>
      <c r="M413" s="32" t="s">
        <v>105</v>
      </c>
    </row>
    <row r="414" spans="1:14" x14ac:dyDescent="0.25">
      <c r="A414" t="s">
        <v>50</v>
      </c>
      <c r="B414" t="s">
        <v>409</v>
      </c>
      <c r="M414" s="32" t="s">
        <v>105</v>
      </c>
    </row>
    <row r="415" spans="1:14" x14ac:dyDescent="0.25">
      <c r="A415" t="s">
        <v>50</v>
      </c>
      <c r="B415" t="s">
        <v>424</v>
      </c>
      <c r="M415" s="32" t="s">
        <v>105</v>
      </c>
    </row>
    <row r="416" spans="1:14" x14ac:dyDescent="0.25">
      <c r="A416" t="s">
        <v>50</v>
      </c>
      <c r="B416" t="s">
        <v>447</v>
      </c>
      <c r="M416" s="32" t="s">
        <v>105</v>
      </c>
    </row>
    <row r="417" spans="1:47" x14ac:dyDescent="0.25">
      <c r="A417" t="s">
        <v>50</v>
      </c>
      <c r="B417" t="s">
        <v>448</v>
      </c>
      <c r="M417" s="32" t="s">
        <v>105</v>
      </c>
    </row>
    <row r="418" spans="1:47" x14ac:dyDescent="0.25">
      <c r="A418" t="s">
        <v>50</v>
      </c>
      <c r="B418" t="s">
        <v>462</v>
      </c>
      <c r="M418" s="32" t="s">
        <v>105</v>
      </c>
    </row>
    <row r="419" spans="1:47" x14ac:dyDescent="0.25">
      <c r="A419" t="s">
        <v>50</v>
      </c>
      <c r="B419" t="s">
        <v>502</v>
      </c>
      <c r="M419" s="32" t="s">
        <v>105</v>
      </c>
    </row>
    <row r="420" spans="1:47" x14ac:dyDescent="0.25">
      <c r="A420" t="s">
        <v>50</v>
      </c>
      <c r="B420" t="s">
        <v>519</v>
      </c>
      <c r="M420" s="32" t="s">
        <v>105</v>
      </c>
    </row>
    <row r="421" spans="1:47" x14ac:dyDescent="0.25">
      <c r="A421" t="s">
        <v>50</v>
      </c>
      <c r="B421" t="s">
        <v>402</v>
      </c>
      <c r="M421" s="32" t="s">
        <v>105</v>
      </c>
    </row>
    <row r="422" spans="1:47" x14ac:dyDescent="0.25">
      <c r="A422" t="s">
        <v>51</v>
      </c>
      <c r="B422" t="s">
        <v>185</v>
      </c>
      <c r="M422" s="32" t="s">
        <v>105</v>
      </c>
    </row>
    <row r="423" spans="1:47" x14ac:dyDescent="0.25">
      <c r="A423" t="s">
        <v>51</v>
      </c>
      <c r="B423" t="s">
        <v>254</v>
      </c>
      <c r="M423" s="32" t="s">
        <v>105</v>
      </c>
    </row>
    <row r="424" spans="1:47" x14ac:dyDescent="0.25">
      <c r="A424" t="s">
        <v>51</v>
      </c>
      <c r="B424" t="s">
        <v>405</v>
      </c>
      <c r="F424" s="32" t="s">
        <v>105</v>
      </c>
    </row>
    <row r="425" spans="1:47" x14ac:dyDescent="0.25">
      <c r="A425" t="s">
        <v>51</v>
      </c>
      <c r="B425" t="s">
        <v>408</v>
      </c>
      <c r="G425" s="32" t="s">
        <v>105</v>
      </c>
    </row>
    <row r="426" spans="1:47" x14ac:dyDescent="0.25">
      <c r="A426" t="s">
        <v>51</v>
      </c>
      <c r="B426" t="s">
        <v>1732</v>
      </c>
      <c r="N426" s="32" t="s">
        <v>105</v>
      </c>
    </row>
    <row r="427" spans="1:47" x14ac:dyDescent="0.25">
      <c r="A427" t="s">
        <v>51</v>
      </c>
      <c r="B427" t="s">
        <v>420</v>
      </c>
      <c r="G427" s="32" t="s">
        <v>105</v>
      </c>
      <c r="H427" s="32" t="s">
        <v>105</v>
      </c>
    </row>
    <row r="428" spans="1:47" x14ac:dyDescent="0.25">
      <c r="A428" t="s">
        <v>51</v>
      </c>
      <c r="B428" t="s">
        <v>435</v>
      </c>
      <c r="G428" s="32" t="s">
        <v>105</v>
      </c>
      <c r="H428" s="32" t="s">
        <v>105</v>
      </c>
    </row>
    <row r="429" spans="1:47" s="35" customFormat="1" ht="30" x14ac:dyDescent="0.25">
      <c r="A429" s="35" t="s">
        <v>51</v>
      </c>
      <c r="B429" s="35" t="s">
        <v>489</v>
      </c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 t="s">
        <v>105</v>
      </c>
      <c r="P429" s="37" t="s">
        <v>485</v>
      </c>
      <c r="Q429" s="38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40"/>
    </row>
    <row r="430" spans="1:47" x14ac:dyDescent="0.25">
      <c r="A430" t="s">
        <v>51</v>
      </c>
      <c r="B430" t="s">
        <v>1751</v>
      </c>
      <c r="G430" s="32" t="s">
        <v>105</v>
      </c>
    </row>
    <row r="431" spans="1:47" x14ac:dyDescent="0.25">
      <c r="A431" t="s">
        <v>51</v>
      </c>
      <c r="B431" t="s">
        <v>537</v>
      </c>
      <c r="C431" s="32" t="s">
        <v>105</v>
      </c>
      <c r="F431" s="32" t="s">
        <v>105</v>
      </c>
    </row>
    <row r="432" spans="1:47" x14ac:dyDescent="0.25">
      <c r="A432" t="s">
        <v>51</v>
      </c>
      <c r="B432" t="s">
        <v>312</v>
      </c>
      <c r="M432" s="32" t="s">
        <v>105</v>
      </c>
    </row>
    <row r="433" spans="1:16" x14ac:dyDescent="0.25">
      <c r="A433" t="s">
        <v>52</v>
      </c>
      <c r="B433" t="s">
        <v>459</v>
      </c>
      <c r="M433" s="32" t="s">
        <v>105</v>
      </c>
    </row>
    <row r="434" spans="1:16" x14ac:dyDescent="0.25">
      <c r="A434" t="s">
        <v>12</v>
      </c>
      <c r="B434" t="s">
        <v>1721</v>
      </c>
      <c r="M434" s="32" t="s">
        <v>105</v>
      </c>
    </row>
    <row r="435" spans="1:16" x14ac:dyDescent="0.25">
      <c r="A435" t="s">
        <v>12</v>
      </c>
      <c r="B435" t="s">
        <v>247</v>
      </c>
      <c r="M435" s="32" t="s">
        <v>105</v>
      </c>
    </row>
    <row r="436" spans="1:16" x14ac:dyDescent="0.25">
      <c r="A436" t="s">
        <v>12</v>
      </c>
      <c r="B436" t="s">
        <v>335</v>
      </c>
      <c r="M436" s="32" t="s">
        <v>105</v>
      </c>
    </row>
    <row r="437" spans="1:16" x14ac:dyDescent="0.25">
      <c r="A437" t="s">
        <v>12</v>
      </c>
      <c r="B437" t="s">
        <v>336</v>
      </c>
      <c r="M437" s="32" t="s">
        <v>105</v>
      </c>
    </row>
    <row r="438" spans="1:16" x14ac:dyDescent="0.25">
      <c r="A438" t="s">
        <v>53</v>
      </c>
      <c r="B438" t="s">
        <v>286</v>
      </c>
      <c r="N438" s="32" t="s">
        <v>105</v>
      </c>
      <c r="O438" s="32" t="s">
        <v>105</v>
      </c>
      <c r="P438" s="32" t="s">
        <v>115</v>
      </c>
    </row>
    <row r="439" spans="1:16" x14ac:dyDescent="0.25">
      <c r="A439" t="s">
        <v>54</v>
      </c>
      <c r="B439" t="s">
        <v>139</v>
      </c>
      <c r="M439" s="32" t="s">
        <v>105</v>
      </c>
    </row>
    <row r="440" spans="1:16" x14ac:dyDescent="0.25">
      <c r="A440" t="s">
        <v>54</v>
      </c>
      <c r="B440" t="s">
        <v>173</v>
      </c>
      <c r="M440" s="32" t="s">
        <v>105</v>
      </c>
    </row>
    <row r="441" spans="1:16" x14ac:dyDescent="0.25">
      <c r="A441" t="s">
        <v>54</v>
      </c>
      <c r="B441" t="s">
        <v>316</v>
      </c>
      <c r="M441" s="32" t="s">
        <v>105</v>
      </c>
    </row>
    <row r="442" spans="1:16" x14ac:dyDescent="0.25">
      <c r="A442" t="s">
        <v>54</v>
      </c>
      <c r="B442" t="s">
        <v>507</v>
      </c>
      <c r="H442" s="32" t="s">
        <v>105</v>
      </c>
    </row>
    <row r="443" spans="1:16" x14ac:dyDescent="0.25">
      <c r="A443" t="s">
        <v>54</v>
      </c>
      <c r="B443" t="s">
        <v>513</v>
      </c>
      <c r="F443" s="32" t="s">
        <v>105</v>
      </c>
    </row>
  </sheetData>
  <sortState xmlns:xlrd2="http://schemas.microsoft.com/office/spreadsheetml/2017/richdata2" ref="A5:AU443">
    <sortCondition ref="A5:A443"/>
  </sortState>
  <mergeCells count="3">
    <mergeCell ref="A3:A4"/>
    <mergeCell ref="B3:B4"/>
    <mergeCell ref="C3:O3"/>
  </mergeCells>
  <dataValidations count="2">
    <dataValidation type="list" allowBlank="1" showInputMessage="1" showErrorMessage="1" sqref="A446:A1048576" xr:uid="{00000000-0002-0000-0100-000000000000}">
      <formula1>ListCountryName</formula1>
    </dataValidation>
    <dataValidation type="list" allowBlank="1" showInputMessage="1" showErrorMessage="1" sqref="C446:O1048576" xr:uid="{00000000-0002-0000-0100-000003000000}">
      <formula1>ListBoolean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7"/>
  <sheetViews>
    <sheetView workbookViewId="0"/>
  </sheetViews>
  <sheetFormatPr defaultRowHeight="15" x14ac:dyDescent="0.25"/>
  <cols>
    <col min="1" max="1" width="10.5703125" bestFit="1" customWidth="1"/>
    <col min="2" max="2" width="89" bestFit="1" customWidth="1"/>
    <col min="3" max="3" width="13.5703125" bestFit="1" customWidth="1"/>
    <col min="4" max="4" width="10.42578125" bestFit="1" customWidth="1"/>
    <col min="6" max="6" width="19.28515625" bestFit="1" customWidth="1"/>
    <col min="7" max="7" width="14" bestFit="1" customWidth="1"/>
  </cols>
  <sheetData>
    <row r="1" spans="1:7" x14ac:dyDescent="0.25">
      <c r="A1" t="s">
        <v>539</v>
      </c>
      <c r="B1" t="s">
        <v>540</v>
      </c>
      <c r="C1" t="s">
        <v>541</v>
      </c>
      <c r="D1" t="s">
        <v>542</v>
      </c>
      <c r="E1" t="s">
        <v>543</v>
      </c>
      <c r="F1" t="s">
        <v>544</v>
      </c>
      <c r="G1" t="s">
        <v>545</v>
      </c>
    </row>
    <row r="2" spans="1:7" x14ac:dyDescent="0.25">
      <c r="A2" s="10">
        <v>1.1000000000000001</v>
      </c>
      <c r="B2" t="s">
        <v>546</v>
      </c>
      <c r="F2" t="s">
        <v>547</v>
      </c>
      <c r="G2" t="b">
        <v>1</v>
      </c>
    </row>
    <row r="3" spans="1:7" x14ac:dyDescent="0.25">
      <c r="A3" s="10">
        <v>1.2</v>
      </c>
      <c r="B3" t="s">
        <v>548</v>
      </c>
    </row>
    <row r="4" spans="1:7" x14ac:dyDescent="0.25">
      <c r="A4" s="10">
        <v>1.3</v>
      </c>
      <c r="B4" t="s">
        <v>549</v>
      </c>
    </row>
    <row r="5" spans="1:7" x14ac:dyDescent="0.25">
      <c r="A5" s="10">
        <v>1.4</v>
      </c>
      <c r="B5" t="s">
        <v>550</v>
      </c>
    </row>
    <row r="6" spans="1:7" x14ac:dyDescent="0.25">
      <c r="A6" s="10">
        <v>1.5</v>
      </c>
      <c r="B6" t="s">
        <v>551</v>
      </c>
    </row>
    <row r="7" spans="1:7" x14ac:dyDescent="0.25">
      <c r="A7" s="10">
        <v>1.6</v>
      </c>
      <c r="B7" t="s">
        <v>552</v>
      </c>
    </row>
    <row r="8" spans="1:7" x14ac:dyDescent="0.25">
      <c r="A8" s="10">
        <v>1.7</v>
      </c>
      <c r="B8" t="s">
        <v>553</v>
      </c>
    </row>
    <row r="9" spans="1:7" x14ac:dyDescent="0.25">
      <c r="A9" s="10">
        <v>1.8</v>
      </c>
      <c r="B9" t="s">
        <v>554</v>
      </c>
    </row>
    <row r="10" spans="1:7" x14ac:dyDescent="0.25">
      <c r="A10" s="10">
        <v>1.9</v>
      </c>
      <c r="B10" t="s">
        <v>555</v>
      </c>
    </row>
    <row r="11" spans="1:7" x14ac:dyDescent="0.25">
      <c r="A11" s="10" t="s">
        <v>4</v>
      </c>
      <c r="B11" t="s">
        <v>556</v>
      </c>
    </row>
    <row r="12" spans="1:7" x14ac:dyDescent="0.25">
      <c r="A12" s="10">
        <v>1.1100000000000001</v>
      </c>
      <c r="B12" t="s">
        <v>557</v>
      </c>
    </row>
    <row r="13" spans="1:7" x14ac:dyDescent="0.25">
      <c r="A13" s="10" t="s">
        <v>0</v>
      </c>
      <c r="B13" t="s">
        <v>558</v>
      </c>
      <c r="F13" t="s">
        <v>559</v>
      </c>
    </row>
    <row r="14" spans="1:7" x14ac:dyDescent="0.25">
      <c r="A14" s="10" t="s">
        <v>69</v>
      </c>
      <c r="B14" t="s">
        <v>546</v>
      </c>
      <c r="F14" t="s">
        <v>547</v>
      </c>
      <c r="G14" t="b">
        <v>1</v>
      </c>
    </row>
    <row r="15" spans="1:7" x14ac:dyDescent="0.25">
      <c r="A15" s="10" t="s">
        <v>70</v>
      </c>
      <c r="B15" t="s">
        <v>560</v>
      </c>
    </row>
    <row r="16" spans="1:7" x14ac:dyDescent="0.25">
      <c r="A16" s="10" t="s">
        <v>71</v>
      </c>
      <c r="B16" t="s">
        <v>561</v>
      </c>
      <c r="F16" t="s">
        <v>547</v>
      </c>
    </row>
    <row r="17" spans="1:6" x14ac:dyDescent="0.25">
      <c r="A17" s="10" t="s">
        <v>72</v>
      </c>
      <c r="B17" t="s">
        <v>562</v>
      </c>
      <c r="F17" t="s">
        <v>547</v>
      </c>
    </row>
    <row r="18" spans="1:6" x14ac:dyDescent="0.25">
      <c r="A18" s="10" t="s">
        <v>73</v>
      </c>
      <c r="B18" t="s">
        <v>563</v>
      </c>
    </row>
    <row r="19" spans="1:6" x14ac:dyDescent="0.25">
      <c r="A19" s="10" t="s">
        <v>74</v>
      </c>
      <c r="B19" t="s">
        <v>564</v>
      </c>
      <c r="F19" t="s">
        <v>547</v>
      </c>
    </row>
    <row r="20" spans="1:6" x14ac:dyDescent="0.25">
      <c r="A20" s="10" t="s">
        <v>75</v>
      </c>
      <c r="B20" t="s">
        <v>565</v>
      </c>
    </row>
    <row r="21" spans="1:6" x14ac:dyDescent="0.25">
      <c r="A21" s="10" t="s">
        <v>76</v>
      </c>
      <c r="B21" t="s">
        <v>566</v>
      </c>
      <c r="F21" t="s">
        <v>547</v>
      </c>
    </row>
    <row r="22" spans="1:6" x14ac:dyDescent="0.25">
      <c r="A22" s="10" t="s">
        <v>77</v>
      </c>
      <c r="B22" t="s">
        <v>567</v>
      </c>
    </row>
    <row r="23" spans="1:6" x14ac:dyDescent="0.25">
      <c r="A23" s="10" t="s">
        <v>78</v>
      </c>
      <c r="B23" t="s">
        <v>568</v>
      </c>
    </row>
    <row r="24" spans="1:6" x14ac:dyDescent="0.25">
      <c r="A24" s="10" t="s">
        <v>79</v>
      </c>
      <c r="B24" t="s">
        <v>569</v>
      </c>
    </row>
    <row r="25" spans="1:6" x14ac:dyDescent="0.25">
      <c r="A25" s="10" t="s">
        <v>80</v>
      </c>
      <c r="B25" t="s">
        <v>570</v>
      </c>
    </row>
    <row r="26" spans="1:6" x14ac:dyDescent="0.25">
      <c r="A26" s="10" t="s">
        <v>81</v>
      </c>
      <c r="B26" t="s">
        <v>571</v>
      </c>
    </row>
    <row r="27" spans="1:6" x14ac:dyDescent="0.25">
      <c r="A27" s="10" t="s">
        <v>82</v>
      </c>
      <c r="B27" t="s">
        <v>572</v>
      </c>
    </row>
    <row r="28" spans="1:6" x14ac:dyDescent="0.25">
      <c r="A28" s="10" t="s">
        <v>83</v>
      </c>
      <c r="B28" t="s">
        <v>573</v>
      </c>
    </row>
    <row r="29" spans="1:6" x14ac:dyDescent="0.25">
      <c r="A29" s="10" t="s">
        <v>84</v>
      </c>
      <c r="B29" t="s">
        <v>574</v>
      </c>
    </row>
    <row r="30" spans="1:6" x14ac:dyDescent="0.25">
      <c r="A30" s="10" t="s">
        <v>85</v>
      </c>
      <c r="B30" t="s">
        <v>575</v>
      </c>
    </row>
    <row r="31" spans="1:6" x14ac:dyDescent="0.25">
      <c r="A31" s="10" t="s">
        <v>86</v>
      </c>
      <c r="B31" t="s">
        <v>576</v>
      </c>
    </row>
    <row r="32" spans="1:6" x14ac:dyDescent="0.25">
      <c r="A32" s="10" t="s">
        <v>87</v>
      </c>
      <c r="B32" t="s">
        <v>577</v>
      </c>
    </row>
    <row r="33" spans="1:6" x14ac:dyDescent="0.25">
      <c r="A33" s="10" t="s">
        <v>88</v>
      </c>
      <c r="B33" t="s">
        <v>578</v>
      </c>
      <c r="F33" t="s">
        <v>547</v>
      </c>
    </row>
    <row r="34" spans="1:6" x14ac:dyDescent="0.25">
      <c r="A34" s="10" t="s">
        <v>89</v>
      </c>
      <c r="B34" t="s">
        <v>579</v>
      </c>
    </row>
    <row r="35" spans="1:6" x14ac:dyDescent="0.25">
      <c r="A35" s="10" t="s">
        <v>90</v>
      </c>
      <c r="B35" t="s">
        <v>579</v>
      </c>
      <c r="C35">
        <v>1</v>
      </c>
    </row>
    <row r="36" spans="1:6" x14ac:dyDescent="0.25">
      <c r="A36" s="10" t="s">
        <v>91</v>
      </c>
      <c r="B36" t="s">
        <v>579</v>
      </c>
      <c r="C36">
        <v>2</v>
      </c>
    </row>
    <row r="37" spans="1:6" x14ac:dyDescent="0.25">
      <c r="A37" s="10" t="s">
        <v>92</v>
      </c>
      <c r="B37" t="s">
        <v>579</v>
      </c>
      <c r="C37">
        <v>3</v>
      </c>
    </row>
    <row r="38" spans="1:6" x14ac:dyDescent="0.25">
      <c r="A38" s="10" t="s">
        <v>93</v>
      </c>
      <c r="B38" t="s">
        <v>579</v>
      </c>
      <c r="C38">
        <v>4</v>
      </c>
    </row>
    <row r="39" spans="1:6" x14ac:dyDescent="0.25">
      <c r="A39" s="10" t="s">
        <v>94</v>
      </c>
      <c r="B39" t="s">
        <v>579</v>
      </c>
      <c r="C39">
        <v>5</v>
      </c>
    </row>
    <row r="40" spans="1:6" x14ac:dyDescent="0.25">
      <c r="A40" s="10" t="s">
        <v>95</v>
      </c>
      <c r="B40" t="s">
        <v>579</v>
      </c>
      <c r="C40">
        <v>6</v>
      </c>
    </row>
    <row r="41" spans="1:6" x14ac:dyDescent="0.25">
      <c r="A41" s="10" t="s">
        <v>96</v>
      </c>
      <c r="B41" t="s">
        <v>579</v>
      </c>
      <c r="C41">
        <v>7</v>
      </c>
    </row>
    <row r="42" spans="1:6" x14ac:dyDescent="0.25">
      <c r="A42" s="10" t="s">
        <v>97</v>
      </c>
      <c r="B42" t="s">
        <v>579</v>
      </c>
      <c r="C42">
        <v>8</v>
      </c>
    </row>
    <row r="43" spans="1:6" x14ac:dyDescent="0.25">
      <c r="A43" s="10" t="s">
        <v>98</v>
      </c>
      <c r="B43" t="s">
        <v>579</v>
      </c>
      <c r="C43">
        <v>9</v>
      </c>
    </row>
    <row r="44" spans="1:6" x14ac:dyDescent="0.25">
      <c r="A44" s="10" t="s">
        <v>99</v>
      </c>
      <c r="B44" t="s">
        <v>579</v>
      </c>
      <c r="C44">
        <v>10</v>
      </c>
    </row>
    <row r="45" spans="1:6" x14ac:dyDescent="0.25">
      <c r="A45" s="10" t="s">
        <v>100</v>
      </c>
      <c r="B45" t="s">
        <v>579</v>
      </c>
      <c r="C45">
        <v>11</v>
      </c>
    </row>
    <row r="46" spans="1:6" x14ac:dyDescent="0.25">
      <c r="A46" s="10" t="s">
        <v>101</v>
      </c>
      <c r="B46" t="s">
        <v>579</v>
      </c>
      <c r="C46">
        <v>12</v>
      </c>
    </row>
    <row r="47" spans="1:6" x14ac:dyDescent="0.25">
      <c r="A47" s="10" t="s">
        <v>102</v>
      </c>
      <c r="B47" t="s">
        <v>580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Z252"/>
  <sheetViews>
    <sheetView workbookViewId="0">
      <selection activeCell="G2" sqref="G2"/>
    </sheetView>
  </sheetViews>
  <sheetFormatPr defaultColWidth="9.140625" defaultRowHeight="15" x14ac:dyDescent="0.25"/>
  <cols>
    <col min="1" max="1" width="11.28515625" style="2" bestFit="1" customWidth="1"/>
    <col min="2" max="5" width="9.140625" style="2"/>
    <col min="6" max="6" width="42.7109375" style="2" bestFit="1" customWidth="1"/>
    <col min="7" max="7" width="5.5703125" style="2" bestFit="1" customWidth="1"/>
    <col min="8" max="8" width="9.140625" style="2"/>
    <col min="9" max="9" width="47.42578125" style="2" bestFit="1" customWidth="1"/>
    <col min="10" max="10" width="5.5703125" style="2" bestFit="1" customWidth="1"/>
    <col min="11" max="11" width="9.140625" style="2" customWidth="1"/>
    <col min="12" max="12" width="53" style="2" bestFit="1" customWidth="1"/>
    <col min="13" max="13" width="5.7109375" style="2" bestFit="1" customWidth="1"/>
    <col min="14" max="14" width="9.140625" style="2"/>
    <col min="15" max="15" width="60.28515625" style="2" bestFit="1" customWidth="1"/>
    <col min="16" max="16" width="8.85546875" style="2" bestFit="1" customWidth="1"/>
    <col min="17" max="17" width="9.140625" style="2"/>
    <col min="18" max="18" width="19.85546875" style="2" bestFit="1" customWidth="1"/>
    <col min="19" max="19" width="7.85546875" style="2" bestFit="1" customWidth="1"/>
    <col min="20" max="20" width="9.140625" style="2"/>
    <col min="21" max="21" width="45.42578125" style="2" bestFit="1" customWidth="1"/>
    <col min="22" max="22" width="6" style="2" bestFit="1" customWidth="1"/>
    <col min="23" max="23" width="7.42578125" style="2" bestFit="1" customWidth="1"/>
    <col min="24" max="25" width="9.140625" style="2"/>
    <col min="26" max="26" width="23.140625" style="2" customWidth="1"/>
    <col min="27" max="27" width="25.28515625" style="2" customWidth="1"/>
    <col min="28" max="16384" width="9.140625" style="2"/>
  </cols>
  <sheetData>
    <row r="1" spans="1:26" s="1" customFormat="1" x14ac:dyDescent="0.25">
      <c r="A1" s="1" t="s">
        <v>581</v>
      </c>
      <c r="C1" s="1" t="s">
        <v>582</v>
      </c>
      <c r="D1" s="1" t="s">
        <v>583</v>
      </c>
      <c r="F1" s="1" t="s">
        <v>583</v>
      </c>
      <c r="G1" s="1" t="s">
        <v>582</v>
      </c>
      <c r="I1" s="1" t="s">
        <v>584</v>
      </c>
      <c r="J1" s="1" t="s">
        <v>582</v>
      </c>
      <c r="L1" s="1" t="s">
        <v>0</v>
      </c>
      <c r="M1" s="1" t="s">
        <v>582</v>
      </c>
      <c r="O1" s="1" t="s">
        <v>585</v>
      </c>
      <c r="P1" s="1" t="s">
        <v>582</v>
      </c>
      <c r="R1" s="1" t="s">
        <v>586</v>
      </c>
      <c r="S1" s="1" t="s">
        <v>582</v>
      </c>
      <c r="U1" s="1" t="s">
        <v>587</v>
      </c>
      <c r="V1" s="1" t="s">
        <v>588</v>
      </c>
      <c r="W1" s="1" t="s">
        <v>582</v>
      </c>
      <c r="Y1" s="1" t="s">
        <v>582</v>
      </c>
      <c r="Z1" s="1" t="s">
        <v>0</v>
      </c>
    </row>
    <row r="2" spans="1:26" x14ac:dyDescent="0.25">
      <c r="A2" s="2" t="s">
        <v>589</v>
      </c>
      <c r="C2" s="2" t="s">
        <v>590</v>
      </c>
      <c r="D2" s="2" t="s">
        <v>591</v>
      </c>
      <c r="F2" s="2" t="s">
        <v>592</v>
      </c>
      <c r="G2" s="2" t="s">
        <v>593</v>
      </c>
      <c r="I2" s="2" t="s">
        <v>594</v>
      </c>
      <c r="J2" s="2" t="s">
        <v>595</v>
      </c>
      <c r="L2" s="3" t="s">
        <v>596</v>
      </c>
      <c r="M2" s="4" t="s">
        <v>597</v>
      </c>
      <c r="O2" s="2" t="s">
        <v>598</v>
      </c>
      <c r="P2" s="2" t="s">
        <v>599</v>
      </c>
      <c r="R2" s="2" t="s">
        <v>600</v>
      </c>
      <c r="S2" s="2" t="s">
        <v>601</v>
      </c>
      <c r="U2" s="2" t="s">
        <v>602</v>
      </c>
      <c r="V2" s="2">
        <v>0</v>
      </c>
      <c r="W2" s="2" t="s">
        <v>603</v>
      </c>
      <c r="Y2" s="4" t="s">
        <v>597</v>
      </c>
      <c r="Z2" s="3" t="s">
        <v>596</v>
      </c>
    </row>
    <row r="3" spans="1:26" x14ac:dyDescent="0.25">
      <c r="C3" s="2" t="s">
        <v>534</v>
      </c>
      <c r="D3" s="2" t="s">
        <v>49</v>
      </c>
      <c r="F3" s="2" t="s">
        <v>604</v>
      </c>
      <c r="G3" s="2" t="s">
        <v>605</v>
      </c>
      <c r="I3" s="2" t="s">
        <v>606</v>
      </c>
      <c r="J3" s="2" t="s">
        <v>607</v>
      </c>
      <c r="L3" s="3" t="s">
        <v>608</v>
      </c>
      <c r="M3" s="4" t="s">
        <v>609</v>
      </c>
      <c r="O3" s="2" t="s">
        <v>610</v>
      </c>
      <c r="P3" s="2" t="s">
        <v>611</v>
      </c>
      <c r="R3" s="2" t="s">
        <v>612</v>
      </c>
      <c r="S3" s="2" t="s">
        <v>613</v>
      </c>
      <c r="U3" s="2" t="s">
        <v>614</v>
      </c>
      <c r="V3" s="2">
        <v>1</v>
      </c>
      <c r="W3" s="2" t="s">
        <v>615</v>
      </c>
      <c r="Y3" s="4" t="s">
        <v>609</v>
      </c>
      <c r="Z3" s="3" t="s">
        <v>608</v>
      </c>
    </row>
    <row r="4" spans="1:26" x14ac:dyDescent="0.25">
      <c r="A4" s="1" t="s">
        <v>616</v>
      </c>
      <c r="C4" s="2" t="s">
        <v>593</v>
      </c>
      <c r="D4" s="2" t="s">
        <v>592</v>
      </c>
      <c r="F4" s="2" t="s">
        <v>617</v>
      </c>
      <c r="G4" s="2" t="s">
        <v>618</v>
      </c>
      <c r="I4" s="2" t="s">
        <v>619</v>
      </c>
      <c r="J4" s="2" t="s">
        <v>593</v>
      </c>
      <c r="L4" s="3" t="s">
        <v>620</v>
      </c>
      <c r="M4" s="4" t="s">
        <v>621</v>
      </c>
      <c r="R4" s="2" t="s">
        <v>622</v>
      </c>
      <c r="S4" s="2" t="s">
        <v>623</v>
      </c>
      <c r="U4" s="2" t="s">
        <v>57</v>
      </c>
      <c r="V4" s="2">
        <v>2</v>
      </c>
      <c r="W4" s="2" t="s">
        <v>624</v>
      </c>
      <c r="Y4" s="4" t="s">
        <v>621</v>
      </c>
      <c r="Z4" s="3" t="s">
        <v>620</v>
      </c>
    </row>
    <row r="5" spans="1:26" x14ac:dyDescent="0.25">
      <c r="A5" s="2" t="s">
        <v>105</v>
      </c>
      <c r="C5" s="2" t="s">
        <v>625</v>
      </c>
      <c r="D5" s="2" t="s">
        <v>626</v>
      </c>
      <c r="F5" s="2" t="s">
        <v>627</v>
      </c>
      <c r="G5" s="2" t="s">
        <v>628</v>
      </c>
      <c r="I5" s="2" t="s">
        <v>629</v>
      </c>
      <c r="J5" s="2" t="s">
        <v>630</v>
      </c>
      <c r="L5" s="3" t="s">
        <v>631</v>
      </c>
      <c r="M5" s="4" t="s">
        <v>632</v>
      </c>
      <c r="O5" s="5" t="s">
        <v>633</v>
      </c>
      <c r="P5" s="1" t="s">
        <v>582</v>
      </c>
      <c r="R5" s="2" t="s">
        <v>634</v>
      </c>
      <c r="S5" s="2" t="s">
        <v>635</v>
      </c>
      <c r="U5" s="2" t="s">
        <v>58</v>
      </c>
      <c r="V5" s="2">
        <v>3</v>
      </c>
      <c r="W5" s="2" t="s">
        <v>636</v>
      </c>
      <c r="Y5" s="4" t="s">
        <v>632</v>
      </c>
      <c r="Z5" s="3" t="s">
        <v>631</v>
      </c>
    </row>
    <row r="6" spans="1:26" ht="30" x14ac:dyDescent="0.25">
      <c r="A6" s="2" t="s">
        <v>637</v>
      </c>
      <c r="C6" s="2" t="s">
        <v>638</v>
      </c>
      <c r="D6" s="2" t="s">
        <v>639</v>
      </c>
      <c r="F6" s="2" t="s">
        <v>640</v>
      </c>
      <c r="G6" s="2" t="s">
        <v>641</v>
      </c>
      <c r="I6" s="2" t="s">
        <v>642</v>
      </c>
      <c r="J6" s="2" t="s">
        <v>643</v>
      </c>
      <c r="L6" s="3" t="s">
        <v>644</v>
      </c>
      <c r="M6" s="4" t="s">
        <v>645</v>
      </c>
      <c r="O6" s="6" t="s">
        <v>646</v>
      </c>
      <c r="P6" s="2" t="s">
        <v>647</v>
      </c>
      <c r="R6" s="2" t="s">
        <v>648</v>
      </c>
      <c r="S6" s="2" t="s">
        <v>649</v>
      </c>
      <c r="U6" s="2" t="s">
        <v>59</v>
      </c>
      <c r="V6" s="2">
        <v>4</v>
      </c>
      <c r="W6" s="2" t="s">
        <v>650</v>
      </c>
      <c r="Y6" s="4" t="s">
        <v>645</v>
      </c>
      <c r="Z6" s="3" t="s">
        <v>644</v>
      </c>
    </row>
    <row r="7" spans="1:26" x14ac:dyDescent="0.25">
      <c r="C7" s="2" t="s">
        <v>618</v>
      </c>
      <c r="D7" s="2" t="s">
        <v>617</v>
      </c>
      <c r="F7" s="2" t="s">
        <v>591</v>
      </c>
      <c r="G7" s="2" t="s">
        <v>590</v>
      </c>
      <c r="I7" s="2" t="s">
        <v>651</v>
      </c>
      <c r="J7" s="2" t="s">
        <v>652</v>
      </c>
      <c r="L7" s="3" t="s">
        <v>653</v>
      </c>
      <c r="M7" s="4" t="s">
        <v>654</v>
      </c>
      <c r="O7" s="6" t="s">
        <v>655</v>
      </c>
      <c r="P7" s="2" t="s">
        <v>656</v>
      </c>
      <c r="R7" s="2" t="s">
        <v>657</v>
      </c>
      <c r="S7" s="2" t="s">
        <v>658</v>
      </c>
      <c r="U7" s="2" t="s">
        <v>60</v>
      </c>
      <c r="V7" s="2">
        <v>5</v>
      </c>
      <c r="W7" s="2" t="s">
        <v>659</v>
      </c>
      <c r="Y7" s="4" t="s">
        <v>654</v>
      </c>
      <c r="Z7" s="3" t="s">
        <v>653</v>
      </c>
    </row>
    <row r="8" spans="1:26" x14ac:dyDescent="0.25">
      <c r="C8" s="2" t="s">
        <v>652</v>
      </c>
      <c r="D8" s="2" t="s">
        <v>660</v>
      </c>
      <c r="F8" s="2" t="s">
        <v>5</v>
      </c>
      <c r="G8" s="2" t="s">
        <v>334</v>
      </c>
      <c r="I8" s="2" t="s">
        <v>661</v>
      </c>
      <c r="J8" s="2" t="s">
        <v>458</v>
      </c>
      <c r="L8" s="3" t="s">
        <v>662</v>
      </c>
      <c r="M8" s="4" t="s">
        <v>663</v>
      </c>
      <c r="O8" s="6" t="s">
        <v>664</v>
      </c>
      <c r="P8" s="2" t="s">
        <v>665</v>
      </c>
      <c r="R8" s="2" t="s">
        <v>666</v>
      </c>
      <c r="S8" s="2" t="s">
        <v>667</v>
      </c>
      <c r="U8" s="2" t="s">
        <v>668</v>
      </c>
      <c r="V8" s="2">
        <v>6</v>
      </c>
      <c r="W8" s="2" t="s">
        <v>669</v>
      </c>
      <c r="Y8" s="4" t="s">
        <v>663</v>
      </c>
      <c r="Z8" s="3" t="s">
        <v>662</v>
      </c>
    </row>
    <row r="9" spans="1:26" x14ac:dyDescent="0.25">
      <c r="C9" s="2" t="s">
        <v>334</v>
      </c>
      <c r="D9" s="2" t="s">
        <v>5</v>
      </c>
      <c r="F9" s="2" t="s">
        <v>639</v>
      </c>
      <c r="G9" s="2" t="s">
        <v>638</v>
      </c>
      <c r="I9" s="2" t="s">
        <v>670</v>
      </c>
      <c r="J9" s="2" t="s">
        <v>671</v>
      </c>
      <c r="L9" s="3" t="s">
        <v>672</v>
      </c>
      <c r="M9" s="4" t="s">
        <v>673</v>
      </c>
      <c r="R9" s="2" t="s">
        <v>674</v>
      </c>
      <c r="S9" s="2" t="s">
        <v>675</v>
      </c>
      <c r="U9" s="2" t="s">
        <v>62</v>
      </c>
      <c r="V9" s="2">
        <v>7</v>
      </c>
      <c r="W9" s="2" t="s">
        <v>676</v>
      </c>
      <c r="Y9" s="4" t="s">
        <v>673</v>
      </c>
      <c r="Z9" s="3" t="s">
        <v>672</v>
      </c>
    </row>
    <row r="10" spans="1:26" x14ac:dyDescent="0.25">
      <c r="C10" s="2" t="s">
        <v>677</v>
      </c>
      <c r="D10" s="2" t="s">
        <v>678</v>
      </c>
      <c r="F10" s="2" t="s">
        <v>678</v>
      </c>
      <c r="G10" s="2" t="s">
        <v>677</v>
      </c>
      <c r="I10" s="2" t="s">
        <v>679</v>
      </c>
      <c r="J10" s="2" t="s">
        <v>680</v>
      </c>
      <c r="L10" s="3" t="s">
        <v>681</v>
      </c>
      <c r="M10" s="4" t="s">
        <v>682</v>
      </c>
      <c r="O10" s="5" t="s">
        <v>683</v>
      </c>
      <c r="U10" s="2" t="s">
        <v>63</v>
      </c>
      <c r="V10" s="2">
        <v>8</v>
      </c>
      <c r="W10" s="2" t="s">
        <v>684</v>
      </c>
      <c r="Y10" s="4" t="s">
        <v>682</v>
      </c>
      <c r="Z10" s="3" t="s">
        <v>681</v>
      </c>
    </row>
    <row r="11" spans="1:26" x14ac:dyDescent="0.25">
      <c r="C11" s="2" t="s">
        <v>458</v>
      </c>
      <c r="D11" s="2" t="s">
        <v>6</v>
      </c>
      <c r="F11" s="2" t="s">
        <v>626</v>
      </c>
      <c r="G11" s="2" t="s">
        <v>625</v>
      </c>
      <c r="I11" s="2" t="s">
        <v>685</v>
      </c>
      <c r="J11" s="2" t="s">
        <v>641</v>
      </c>
      <c r="L11" s="3" t="s">
        <v>686</v>
      </c>
      <c r="M11" s="4" t="s">
        <v>687</v>
      </c>
      <c r="O11" t="s">
        <v>688</v>
      </c>
      <c r="P11" s="2" t="s">
        <v>689</v>
      </c>
      <c r="U11" s="2" t="s">
        <v>64</v>
      </c>
      <c r="V11" s="2">
        <v>9</v>
      </c>
      <c r="W11" s="2" t="s">
        <v>690</v>
      </c>
      <c r="Y11" s="4" t="s">
        <v>687</v>
      </c>
      <c r="Z11" s="3" t="s">
        <v>686</v>
      </c>
    </row>
    <row r="12" spans="1:26" x14ac:dyDescent="0.25">
      <c r="C12" s="2" t="s">
        <v>641</v>
      </c>
      <c r="D12" s="2" t="s">
        <v>640</v>
      </c>
      <c r="F12" s="2" t="s">
        <v>6</v>
      </c>
      <c r="G12" s="2" t="s">
        <v>458</v>
      </c>
      <c r="I12" s="2" t="s">
        <v>691</v>
      </c>
      <c r="J12" s="2" t="s">
        <v>692</v>
      </c>
      <c r="L12" s="3" t="s">
        <v>693</v>
      </c>
      <c r="M12" s="4" t="s">
        <v>694</v>
      </c>
      <c r="O12" t="s">
        <v>695</v>
      </c>
      <c r="P12" s="2" t="s">
        <v>696</v>
      </c>
      <c r="U12" s="2" t="s">
        <v>697</v>
      </c>
      <c r="V12" s="2">
        <v>10</v>
      </c>
      <c r="W12" s="2" t="s">
        <v>698</v>
      </c>
      <c r="Y12" s="4" t="s">
        <v>694</v>
      </c>
      <c r="Z12" s="3" t="s">
        <v>693</v>
      </c>
    </row>
    <row r="13" spans="1:26" x14ac:dyDescent="0.25">
      <c r="C13" s="2" t="s">
        <v>699</v>
      </c>
      <c r="D13" s="2" t="s">
        <v>700</v>
      </c>
      <c r="F13" s="2" t="s">
        <v>660</v>
      </c>
      <c r="G13" s="2" t="s">
        <v>652</v>
      </c>
      <c r="I13" s="2" t="s">
        <v>701</v>
      </c>
      <c r="J13" s="2" t="s">
        <v>534</v>
      </c>
      <c r="L13" s="3" t="s">
        <v>702</v>
      </c>
      <c r="M13" s="4" t="s">
        <v>703</v>
      </c>
      <c r="O13" t="s">
        <v>704</v>
      </c>
      <c r="P13" s="2" t="s">
        <v>705</v>
      </c>
      <c r="U13" s="2" t="s">
        <v>66</v>
      </c>
      <c r="V13" s="2">
        <v>11</v>
      </c>
      <c r="W13" s="2" t="s">
        <v>706</v>
      </c>
      <c r="Y13" s="4" t="s">
        <v>703</v>
      </c>
      <c r="Z13" s="3" t="s">
        <v>702</v>
      </c>
    </row>
    <row r="14" spans="1:26" x14ac:dyDescent="0.25">
      <c r="C14" s="2" t="s">
        <v>107</v>
      </c>
      <c r="D14" s="2" t="s">
        <v>7</v>
      </c>
      <c r="F14" s="2" t="s">
        <v>707</v>
      </c>
      <c r="G14" s="2" t="s">
        <v>708</v>
      </c>
      <c r="I14" s="2" t="s">
        <v>709</v>
      </c>
      <c r="J14" s="2" t="s">
        <v>710</v>
      </c>
      <c r="L14" s="3" t="s">
        <v>711</v>
      </c>
      <c r="M14" s="4" t="s">
        <v>712</v>
      </c>
      <c r="O14" t="s">
        <v>713</v>
      </c>
      <c r="P14" s="2" t="s">
        <v>714</v>
      </c>
      <c r="U14" s="2" t="s">
        <v>67</v>
      </c>
      <c r="V14" s="2">
        <v>12</v>
      </c>
      <c r="W14" s="2" t="s">
        <v>715</v>
      </c>
      <c r="Y14" s="4" t="s">
        <v>712</v>
      </c>
      <c r="Z14" s="3" t="s">
        <v>711</v>
      </c>
    </row>
    <row r="15" spans="1:26" x14ac:dyDescent="0.25">
      <c r="C15" s="2" t="s">
        <v>708</v>
      </c>
      <c r="D15" s="2" t="s">
        <v>707</v>
      </c>
      <c r="F15" s="2" t="s">
        <v>7</v>
      </c>
      <c r="G15" s="2" t="s">
        <v>107</v>
      </c>
      <c r="I15" s="2" t="s">
        <v>716</v>
      </c>
      <c r="J15" s="2" t="s">
        <v>717</v>
      </c>
      <c r="L15" s="3" t="s">
        <v>718</v>
      </c>
      <c r="M15" s="4" t="s">
        <v>719</v>
      </c>
      <c r="O15" t="s">
        <v>720</v>
      </c>
      <c r="P15" s="2" t="s">
        <v>721</v>
      </c>
      <c r="Y15" s="4" t="s">
        <v>719</v>
      </c>
      <c r="Z15" s="3" t="s">
        <v>718</v>
      </c>
    </row>
    <row r="16" spans="1:26" x14ac:dyDescent="0.25">
      <c r="C16" s="2" t="s">
        <v>605</v>
      </c>
      <c r="D16" s="2" t="s">
        <v>604</v>
      </c>
      <c r="F16" s="2" t="s">
        <v>700</v>
      </c>
      <c r="G16" s="2" t="s">
        <v>699</v>
      </c>
      <c r="I16" s="2" t="s">
        <v>722</v>
      </c>
      <c r="J16" s="2" t="s">
        <v>328</v>
      </c>
      <c r="L16" s="3" t="s">
        <v>723</v>
      </c>
      <c r="M16" s="4" t="s">
        <v>724</v>
      </c>
      <c r="Y16" s="4" t="s">
        <v>724</v>
      </c>
      <c r="Z16" s="3" t="s">
        <v>723</v>
      </c>
    </row>
    <row r="17" spans="3:26" x14ac:dyDescent="0.25">
      <c r="C17" s="2" t="s">
        <v>717</v>
      </c>
      <c r="D17" s="2" t="s">
        <v>725</v>
      </c>
      <c r="F17" s="2" t="s">
        <v>725</v>
      </c>
      <c r="G17" s="2" t="s">
        <v>717</v>
      </c>
      <c r="I17" s="2" t="s">
        <v>726</v>
      </c>
      <c r="J17" s="2" t="s">
        <v>727</v>
      </c>
      <c r="L17" s="3" t="s">
        <v>728</v>
      </c>
      <c r="M17" s="4" t="s">
        <v>729</v>
      </c>
      <c r="O17" s="5" t="s">
        <v>730</v>
      </c>
      <c r="P17" s="1" t="s">
        <v>582</v>
      </c>
      <c r="Y17" s="4" t="s">
        <v>729</v>
      </c>
      <c r="Z17" s="3" t="s">
        <v>728</v>
      </c>
    </row>
    <row r="18" spans="3:26" x14ac:dyDescent="0.25">
      <c r="C18" s="2" t="s">
        <v>727</v>
      </c>
      <c r="D18" s="2" t="s">
        <v>731</v>
      </c>
      <c r="F18" s="2" t="s">
        <v>732</v>
      </c>
      <c r="G18" s="2" t="s">
        <v>733</v>
      </c>
      <c r="I18" s="2" t="s">
        <v>734</v>
      </c>
      <c r="J18" s="2" t="s">
        <v>735</v>
      </c>
      <c r="L18" s="3" t="s">
        <v>736</v>
      </c>
      <c r="M18" s="4" t="s">
        <v>737</v>
      </c>
      <c r="O18" s="2" t="s">
        <v>738</v>
      </c>
      <c r="P18" s="2" t="s">
        <v>739</v>
      </c>
      <c r="Y18" s="4" t="s">
        <v>737</v>
      </c>
      <c r="Z18" s="3" t="s">
        <v>736</v>
      </c>
    </row>
    <row r="19" spans="3:26" x14ac:dyDescent="0.25">
      <c r="C19" s="2" t="s">
        <v>740</v>
      </c>
      <c r="D19" s="2" t="s">
        <v>741</v>
      </c>
      <c r="F19" s="2" t="s">
        <v>742</v>
      </c>
      <c r="G19" s="2" t="s">
        <v>743</v>
      </c>
      <c r="I19" s="2" t="s">
        <v>744</v>
      </c>
      <c r="J19" s="2" t="s">
        <v>338</v>
      </c>
      <c r="L19" s="3" t="s">
        <v>745</v>
      </c>
      <c r="M19" s="4" t="s">
        <v>746</v>
      </c>
      <c r="O19" t="s">
        <v>747</v>
      </c>
      <c r="P19" s="2" t="s">
        <v>748</v>
      </c>
      <c r="Y19" s="4" t="s">
        <v>746</v>
      </c>
      <c r="Z19" s="3" t="s">
        <v>745</v>
      </c>
    </row>
    <row r="20" spans="3:26" x14ac:dyDescent="0.25">
      <c r="C20" s="2" t="s">
        <v>749</v>
      </c>
      <c r="D20" s="2" t="s">
        <v>750</v>
      </c>
      <c r="F20" s="2" t="s">
        <v>750</v>
      </c>
      <c r="G20" s="2" t="s">
        <v>749</v>
      </c>
      <c r="I20" s="2" t="s">
        <v>751</v>
      </c>
      <c r="J20" s="2" t="s">
        <v>752</v>
      </c>
      <c r="L20" s="3" t="s">
        <v>753</v>
      </c>
      <c r="M20" s="4" t="s">
        <v>754</v>
      </c>
      <c r="O20" t="s">
        <v>755</v>
      </c>
      <c r="P20" s="2" t="s">
        <v>756</v>
      </c>
      <c r="Y20" s="4" t="s">
        <v>754</v>
      </c>
      <c r="Z20" s="3" t="s">
        <v>753</v>
      </c>
    </row>
    <row r="21" spans="3:26" x14ac:dyDescent="0.25">
      <c r="C21" s="2" t="s">
        <v>338</v>
      </c>
      <c r="D21" s="2" t="s">
        <v>8</v>
      </c>
      <c r="F21" s="2" t="s">
        <v>741</v>
      </c>
      <c r="G21" s="2" t="s">
        <v>740</v>
      </c>
      <c r="I21" s="2" t="s">
        <v>757</v>
      </c>
      <c r="J21" s="2" t="s">
        <v>743</v>
      </c>
      <c r="L21" s="3" t="s">
        <v>758</v>
      </c>
      <c r="M21" s="4" t="s">
        <v>759</v>
      </c>
      <c r="O21" t="s">
        <v>760</v>
      </c>
      <c r="P21" s="2" t="s">
        <v>761</v>
      </c>
      <c r="Y21" s="4" t="s">
        <v>759</v>
      </c>
      <c r="Z21" s="3" t="s">
        <v>758</v>
      </c>
    </row>
    <row r="22" spans="3:26" x14ac:dyDescent="0.25">
      <c r="C22" s="2" t="s">
        <v>762</v>
      </c>
      <c r="D22" s="2" t="s">
        <v>763</v>
      </c>
      <c r="F22" s="2" t="s">
        <v>764</v>
      </c>
      <c r="G22" s="2" t="s">
        <v>765</v>
      </c>
      <c r="I22" s="2" t="s">
        <v>766</v>
      </c>
      <c r="J22" s="2" t="s">
        <v>767</v>
      </c>
      <c r="L22" s="3" t="s">
        <v>768</v>
      </c>
      <c r="M22" s="4" t="s">
        <v>769</v>
      </c>
      <c r="O22" t="s">
        <v>770</v>
      </c>
      <c r="P22" s="2" t="s">
        <v>771</v>
      </c>
      <c r="Y22" s="4" t="s">
        <v>769</v>
      </c>
      <c r="Z22" s="3" t="s">
        <v>768</v>
      </c>
    </row>
    <row r="23" spans="3:26" x14ac:dyDescent="0.25">
      <c r="C23" s="2" t="s">
        <v>772</v>
      </c>
      <c r="D23" s="2" t="s">
        <v>773</v>
      </c>
      <c r="F23" s="2" t="s">
        <v>8</v>
      </c>
      <c r="G23" s="2" t="s">
        <v>338</v>
      </c>
      <c r="I23" s="2" t="s">
        <v>774</v>
      </c>
      <c r="J23" s="2" t="s">
        <v>733</v>
      </c>
      <c r="L23" s="3" t="s">
        <v>775</v>
      </c>
      <c r="M23" s="4" t="s">
        <v>776</v>
      </c>
      <c r="O23" t="s">
        <v>777</v>
      </c>
      <c r="P23" s="2" t="s">
        <v>778</v>
      </c>
      <c r="Y23" s="4" t="s">
        <v>776</v>
      </c>
      <c r="Z23" s="3" t="s">
        <v>775</v>
      </c>
    </row>
    <row r="24" spans="3:26" x14ac:dyDescent="0.25">
      <c r="C24" s="2" t="s">
        <v>743</v>
      </c>
      <c r="D24" s="2" t="s">
        <v>742</v>
      </c>
      <c r="F24" s="2" t="s">
        <v>779</v>
      </c>
      <c r="G24" s="2" t="s">
        <v>780</v>
      </c>
      <c r="I24" s="2" t="s">
        <v>781</v>
      </c>
      <c r="J24" s="2" t="s">
        <v>166</v>
      </c>
      <c r="L24" s="3" t="s">
        <v>782</v>
      </c>
      <c r="M24" s="4" t="s">
        <v>783</v>
      </c>
      <c r="O24" t="s">
        <v>784</v>
      </c>
      <c r="P24" s="2" t="s">
        <v>785</v>
      </c>
      <c r="Y24" s="4" t="s">
        <v>783</v>
      </c>
      <c r="Z24" s="3" t="s">
        <v>782</v>
      </c>
    </row>
    <row r="25" spans="3:26" x14ac:dyDescent="0.25">
      <c r="C25" s="2" t="s">
        <v>767</v>
      </c>
      <c r="D25" s="2" t="s">
        <v>786</v>
      </c>
      <c r="F25" s="2" t="s">
        <v>787</v>
      </c>
      <c r="G25" s="2" t="s">
        <v>788</v>
      </c>
      <c r="I25" s="2" t="s">
        <v>789</v>
      </c>
      <c r="J25" s="2" t="s">
        <v>772</v>
      </c>
      <c r="L25" s="3" t="s">
        <v>790</v>
      </c>
      <c r="M25" s="4" t="s">
        <v>791</v>
      </c>
      <c r="O25" t="s">
        <v>792</v>
      </c>
      <c r="P25" s="2" t="s">
        <v>793</v>
      </c>
      <c r="Y25" s="4" t="s">
        <v>791</v>
      </c>
      <c r="Z25" s="3" t="s">
        <v>790</v>
      </c>
    </row>
    <row r="26" spans="3:26" x14ac:dyDescent="0.25">
      <c r="C26" s="2" t="s">
        <v>788</v>
      </c>
      <c r="D26" s="2" t="s">
        <v>787</v>
      </c>
      <c r="F26" s="2" t="s">
        <v>9</v>
      </c>
      <c r="G26" s="2" t="s">
        <v>328</v>
      </c>
      <c r="I26" s="2" t="s">
        <v>794</v>
      </c>
      <c r="J26" s="2" t="s">
        <v>795</v>
      </c>
      <c r="L26" s="3" t="s">
        <v>796</v>
      </c>
      <c r="M26" s="4" t="s">
        <v>797</v>
      </c>
      <c r="O26" t="s">
        <v>798</v>
      </c>
      <c r="P26" s="2" t="s">
        <v>799</v>
      </c>
      <c r="Y26" s="4" t="s">
        <v>797</v>
      </c>
      <c r="Z26" s="3" t="s">
        <v>796</v>
      </c>
    </row>
    <row r="27" spans="3:26" x14ac:dyDescent="0.25">
      <c r="C27" s="2" t="s">
        <v>800</v>
      </c>
      <c r="D27" s="2" t="s">
        <v>801</v>
      </c>
      <c r="F27" s="2" t="s">
        <v>802</v>
      </c>
      <c r="G27" s="2" t="s">
        <v>803</v>
      </c>
      <c r="I27" s="2" t="s">
        <v>804</v>
      </c>
      <c r="J27" s="2" t="s">
        <v>104</v>
      </c>
      <c r="L27" s="3" t="s">
        <v>805</v>
      </c>
      <c r="M27" s="4" t="s">
        <v>806</v>
      </c>
      <c r="O27" t="s">
        <v>807</v>
      </c>
      <c r="P27" s="2" t="s">
        <v>808</v>
      </c>
      <c r="Y27" s="4" t="s">
        <v>806</v>
      </c>
      <c r="Z27" s="3" t="s">
        <v>805</v>
      </c>
    </row>
    <row r="28" spans="3:26" x14ac:dyDescent="0.25">
      <c r="C28" s="2" t="s">
        <v>328</v>
      </c>
      <c r="D28" s="2" t="s">
        <v>9</v>
      </c>
      <c r="F28" s="2" t="s">
        <v>809</v>
      </c>
      <c r="G28" s="2" t="s">
        <v>810</v>
      </c>
      <c r="I28" s="2" t="s">
        <v>811</v>
      </c>
      <c r="J28" s="2" t="s">
        <v>349</v>
      </c>
      <c r="L28" s="3" t="s">
        <v>812</v>
      </c>
      <c r="M28" s="4" t="s">
        <v>813</v>
      </c>
      <c r="Y28" s="4" t="s">
        <v>813</v>
      </c>
      <c r="Z28" s="3" t="s">
        <v>812</v>
      </c>
    </row>
    <row r="29" spans="3:26" x14ac:dyDescent="0.25">
      <c r="C29" s="2" t="s">
        <v>752</v>
      </c>
      <c r="D29" s="2" t="s">
        <v>814</v>
      </c>
      <c r="F29" s="2" t="s">
        <v>815</v>
      </c>
      <c r="G29" s="2" t="s">
        <v>816</v>
      </c>
      <c r="I29" s="2" t="s">
        <v>817</v>
      </c>
      <c r="J29" s="2" t="s">
        <v>818</v>
      </c>
      <c r="L29" s="3" t="s">
        <v>819</v>
      </c>
      <c r="M29" s="4" t="s">
        <v>820</v>
      </c>
      <c r="Y29" s="4" t="s">
        <v>820</v>
      </c>
      <c r="Z29" s="3" t="s">
        <v>819</v>
      </c>
    </row>
    <row r="30" spans="3:26" x14ac:dyDescent="0.25">
      <c r="C30" s="2" t="s">
        <v>810</v>
      </c>
      <c r="D30" s="2" t="s">
        <v>809</v>
      </c>
      <c r="F30" s="2" t="s">
        <v>731</v>
      </c>
      <c r="G30" s="2" t="s">
        <v>727</v>
      </c>
      <c r="I30" s="2" t="s">
        <v>821</v>
      </c>
      <c r="J30" s="2" t="s">
        <v>822</v>
      </c>
      <c r="L30" s="3" t="s">
        <v>823</v>
      </c>
      <c r="M30" s="4" t="s">
        <v>824</v>
      </c>
      <c r="Y30" s="4" t="s">
        <v>824</v>
      </c>
      <c r="Z30" s="3" t="s">
        <v>823</v>
      </c>
    </row>
    <row r="31" spans="3:26" x14ac:dyDescent="0.25">
      <c r="C31" s="2" t="s">
        <v>816</v>
      </c>
      <c r="D31" s="2" t="s">
        <v>815</v>
      </c>
      <c r="F31" s="2" t="s">
        <v>10</v>
      </c>
      <c r="G31" s="2" t="s">
        <v>130</v>
      </c>
      <c r="I31" s="2" t="s">
        <v>825</v>
      </c>
      <c r="J31" s="2" t="s">
        <v>826</v>
      </c>
      <c r="L31" s="3" t="s">
        <v>827</v>
      </c>
      <c r="M31" s="4" t="s">
        <v>828</v>
      </c>
      <c r="Y31" s="4" t="s">
        <v>828</v>
      </c>
      <c r="Z31" s="3" t="s">
        <v>827</v>
      </c>
    </row>
    <row r="32" spans="3:26" x14ac:dyDescent="0.25">
      <c r="C32" s="2" t="s">
        <v>166</v>
      </c>
      <c r="D32" s="2" t="s">
        <v>11</v>
      </c>
      <c r="F32" s="2" t="s">
        <v>829</v>
      </c>
      <c r="G32" s="2" t="s">
        <v>830</v>
      </c>
      <c r="I32" s="2" t="s">
        <v>831</v>
      </c>
      <c r="J32" s="2" t="s">
        <v>832</v>
      </c>
      <c r="L32" s="3" t="s">
        <v>833</v>
      </c>
      <c r="M32" s="4" t="s">
        <v>834</v>
      </c>
      <c r="Y32" s="4" t="s">
        <v>834</v>
      </c>
      <c r="Z32" s="3" t="s">
        <v>833</v>
      </c>
    </row>
    <row r="33" spans="3:26" x14ac:dyDescent="0.25">
      <c r="C33" s="2" t="s">
        <v>733</v>
      </c>
      <c r="D33" s="2" t="s">
        <v>732</v>
      </c>
      <c r="F33" s="2" t="s">
        <v>11</v>
      </c>
      <c r="G33" s="2" t="s">
        <v>166</v>
      </c>
      <c r="I33" s="2" t="s">
        <v>835</v>
      </c>
      <c r="J33" s="2" t="s">
        <v>836</v>
      </c>
      <c r="L33" s="3" t="s">
        <v>837</v>
      </c>
      <c r="M33" s="4" t="s">
        <v>838</v>
      </c>
      <c r="Y33" s="4" t="s">
        <v>838</v>
      </c>
      <c r="Z33" s="3" t="s">
        <v>837</v>
      </c>
    </row>
    <row r="34" spans="3:26" x14ac:dyDescent="0.25">
      <c r="C34" s="2" t="s">
        <v>803</v>
      </c>
      <c r="D34" s="2" t="s">
        <v>802</v>
      </c>
      <c r="F34" s="2" t="s">
        <v>839</v>
      </c>
      <c r="G34" s="2" t="s">
        <v>840</v>
      </c>
      <c r="I34" s="2" t="s">
        <v>841</v>
      </c>
      <c r="J34" s="2" t="s">
        <v>165</v>
      </c>
      <c r="L34" s="3" t="s">
        <v>842</v>
      </c>
      <c r="M34" s="4" t="s">
        <v>843</v>
      </c>
      <c r="Y34" s="4" t="s">
        <v>843</v>
      </c>
      <c r="Z34" s="3" t="s">
        <v>842</v>
      </c>
    </row>
    <row r="35" spans="3:26" x14ac:dyDescent="0.25">
      <c r="C35" s="2" t="s">
        <v>830</v>
      </c>
      <c r="D35" s="2" t="s">
        <v>829</v>
      </c>
      <c r="F35" s="2" t="s">
        <v>814</v>
      </c>
      <c r="G35" s="2" t="s">
        <v>752</v>
      </c>
      <c r="I35" s="2" t="s">
        <v>844</v>
      </c>
      <c r="J35" s="2" t="s">
        <v>845</v>
      </c>
      <c r="L35" s="3" t="s">
        <v>846</v>
      </c>
      <c r="M35" s="4" t="s">
        <v>847</v>
      </c>
      <c r="Y35" s="4" t="s">
        <v>847</v>
      </c>
      <c r="Z35" s="3" t="s">
        <v>846</v>
      </c>
    </row>
    <row r="36" spans="3:26" x14ac:dyDescent="0.25">
      <c r="C36" s="2" t="s">
        <v>130</v>
      </c>
      <c r="D36" s="2" t="s">
        <v>10</v>
      </c>
      <c r="F36" s="2" t="s">
        <v>773</v>
      </c>
      <c r="G36" s="2" t="s">
        <v>772</v>
      </c>
      <c r="I36" s="2" t="s">
        <v>848</v>
      </c>
      <c r="J36" s="2" t="s">
        <v>849</v>
      </c>
      <c r="L36" s="3" t="s">
        <v>850</v>
      </c>
      <c r="M36" s="4" t="s">
        <v>851</v>
      </c>
      <c r="Y36" s="4" t="s">
        <v>851</v>
      </c>
      <c r="Z36" s="3" t="s">
        <v>850</v>
      </c>
    </row>
    <row r="37" spans="3:26" x14ac:dyDescent="0.25">
      <c r="C37" s="2" t="s">
        <v>765</v>
      </c>
      <c r="D37" s="2" t="s">
        <v>764</v>
      </c>
      <c r="F37" s="2" t="s">
        <v>763</v>
      </c>
      <c r="G37" s="2" t="s">
        <v>762</v>
      </c>
      <c r="I37" s="2" t="s">
        <v>852</v>
      </c>
      <c r="J37" s="2" t="s">
        <v>853</v>
      </c>
      <c r="L37" s="3" t="s">
        <v>854</v>
      </c>
      <c r="M37" s="4" t="s">
        <v>855</v>
      </c>
      <c r="Y37" s="4" t="s">
        <v>855</v>
      </c>
      <c r="Z37" s="3" t="s">
        <v>854</v>
      </c>
    </row>
    <row r="38" spans="3:26" x14ac:dyDescent="0.25">
      <c r="C38" s="2" t="s">
        <v>780</v>
      </c>
      <c r="D38" s="2" t="s">
        <v>779</v>
      </c>
      <c r="F38" s="2" t="s">
        <v>786</v>
      </c>
      <c r="G38" s="2" t="s">
        <v>767</v>
      </c>
      <c r="I38" s="2" t="s">
        <v>856</v>
      </c>
      <c r="J38" s="2" t="s">
        <v>857</v>
      </c>
      <c r="L38" s="3" t="s">
        <v>858</v>
      </c>
      <c r="M38" s="4" t="s">
        <v>859</v>
      </c>
      <c r="Y38" s="4" t="s">
        <v>859</v>
      </c>
      <c r="Z38" s="3" t="s">
        <v>858</v>
      </c>
    </row>
    <row r="39" spans="3:26" x14ac:dyDescent="0.25">
      <c r="C39" s="2" t="s">
        <v>104</v>
      </c>
      <c r="D39" s="2" t="s">
        <v>13</v>
      </c>
      <c r="F39" s="2" t="s">
        <v>860</v>
      </c>
      <c r="G39" s="2" t="s">
        <v>832</v>
      </c>
      <c r="I39" s="2" t="s">
        <v>861</v>
      </c>
      <c r="J39" s="2" t="s">
        <v>862</v>
      </c>
      <c r="L39" s="3" t="s">
        <v>863</v>
      </c>
      <c r="M39" s="4" t="s">
        <v>864</v>
      </c>
      <c r="Y39" s="4" t="s">
        <v>864</v>
      </c>
      <c r="Z39" s="3" t="s">
        <v>863</v>
      </c>
    </row>
    <row r="40" spans="3:26" x14ac:dyDescent="0.25">
      <c r="C40" s="2" t="s">
        <v>865</v>
      </c>
      <c r="D40" s="2" t="s">
        <v>866</v>
      </c>
      <c r="F40" s="2" t="s">
        <v>867</v>
      </c>
      <c r="G40" s="2" t="s">
        <v>868</v>
      </c>
      <c r="I40" s="2" t="s">
        <v>869</v>
      </c>
      <c r="J40" s="2" t="s">
        <v>112</v>
      </c>
      <c r="L40" s="3" t="s">
        <v>870</v>
      </c>
      <c r="M40" s="4" t="s">
        <v>871</v>
      </c>
      <c r="Y40" s="4" t="s">
        <v>871</v>
      </c>
      <c r="Z40" s="3" t="s">
        <v>870</v>
      </c>
    </row>
    <row r="41" spans="3:26" x14ac:dyDescent="0.25">
      <c r="C41" s="2" t="s">
        <v>123</v>
      </c>
      <c r="D41" s="2" t="s">
        <v>17</v>
      </c>
      <c r="F41" s="2" t="s">
        <v>872</v>
      </c>
      <c r="G41" s="2" t="s">
        <v>873</v>
      </c>
      <c r="I41" s="2" t="s">
        <v>874</v>
      </c>
      <c r="J41" s="2" t="s">
        <v>628</v>
      </c>
      <c r="L41" s="3" t="s">
        <v>875</v>
      </c>
      <c r="M41" s="4" t="s">
        <v>876</v>
      </c>
      <c r="Y41" s="4" t="s">
        <v>876</v>
      </c>
      <c r="Z41" s="3" t="s">
        <v>875</v>
      </c>
    </row>
    <row r="42" spans="3:26" x14ac:dyDescent="0.25">
      <c r="C42" s="2" t="s">
        <v>877</v>
      </c>
      <c r="D42" s="2" t="s">
        <v>878</v>
      </c>
      <c r="F42" s="2" t="s">
        <v>13</v>
      </c>
      <c r="G42" s="2" t="s">
        <v>104</v>
      </c>
      <c r="I42" s="2" t="s">
        <v>879</v>
      </c>
      <c r="J42" s="2" t="s">
        <v>880</v>
      </c>
      <c r="L42" s="3" t="s">
        <v>881</v>
      </c>
      <c r="M42" s="4" t="s">
        <v>882</v>
      </c>
      <c r="Y42" s="4" t="s">
        <v>882</v>
      </c>
      <c r="Z42" s="3" t="s">
        <v>881</v>
      </c>
    </row>
    <row r="43" spans="3:26" x14ac:dyDescent="0.25">
      <c r="C43" s="2" t="s">
        <v>883</v>
      </c>
      <c r="D43" s="2" t="s">
        <v>884</v>
      </c>
      <c r="F43" s="2" t="s">
        <v>885</v>
      </c>
      <c r="G43" s="2" t="s">
        <v>322</v>
      </c>
      <c r="I43" s="2" t="s">
        <v>886</v>
      </c>
      <c r="J43" s="2" t="s">
        <v>887</v>
      </c>
      <c r="L43" s="3" t="s">
        <v>888</v>
      </c>
      <c r="M43" s="4" t="s">
        <v>889</v>
      </c>
      <c r="Y43" s="4" t="s">
        <v>889</v>
      </c>
      <c r="Z43" s="3" t="s">
        <v>888</v>
      </c>
    </row>
    <row r="44" spans="3:26" x14ac:dyDescent="0.25">
      <c r="C44" s="2" t="s">
        <v>349</v>
      </c>
      <c r="D44" s="2" t="s">
        <v>47</v>
      </c>
      <c r="F44" s="2" t="s">
        <v>878</v>
      </c>
      <c r="G44" s="2" t="s">
        <v>877</v>
      </c>
      <c r="I44" s="2" t="s">
        <v>890</v>
      </c>
      <c r="J44" s="2" t="s">
        <v>891</v>
      </c>
      <c r="L44" s="3" t="s">
        <v>892</v>
      </c>
      <c r="M44" s="4" t="s">
        <v>893</v>
      </c>
      <c r="Y44" s="4" t="s">
        <v>893</v>
      </c>
      <c r="Z44" s="3" t="s">
        <v>892</v>
      </c>
    </row>
    <row r="45" spans="3:26" x14ac:dyDescent="0.25">
      <c r="C45" s="2" t="s">
        <v>894</v>
      </c>
      <c r="D45" s="2" t="s">
        <v>895</v>
      </c>
      <c r="F45" s="2" t="s">
        <v>896</v>
      </c>
      <c r="G45" s="2" t="s">
        <v>897</v>
      </c>
      <c r="I45" s="2" t="s">
        <v>898</v>
      </c>
      <c r="J45" s="2" t="s">
        <v>891</v>
      </c>
      <c r="L45" s="3" t="s">
        <v>899</v>
      </c>
      <c r="M45" s="4" t="s">
        <v>900</v>
      </c>
      <c r="Y45" s="4" t="s">
        <v>900</v>
      </c>
      <c r="Z45" s="3" t="s">
        <v>899</v>
      </c>
    </row>
    <row r="46" spans="3:26" x14ac:dyDescent="0.25">
      <c r="C46" s="2" t="s">
        <v>901</v>
      </c>
      <c r="D46" s="2" t="s">
        <v>902</v>
      </c>
      <c r="F46" s="2" t="s">
        <v>14</v>
      </c>
      <c r="G46" s="2" t="s">
        <v>157</v>
      </c>
      <c r="I46" s="2" t="s">
        <v>903</v>
      </c>
      <c r="J46" s="2" t="s">
        <v>904</v>
      </c>
      <c r="L46" s="3" t="s">
        <v>905</v>
      </c>
      <c r="M46" s="4" t="s">
        <v>906</v>
      </c>
      <c r="Y46" s="4" t="s">
        <v>906</v>
      </c>
      <c r="Z46" s="3" t="s">
        <v>905</v>
      </c>
    </row>
    <row r="47" spans="3:26" x14ac:dyDescent="0.25">
      <c r="C47" s="2" t="s">
        <v>157</v>
      </c>
      <c r="D47" s="2" t="s">
        <v>14</v>
      </c>
      <c r="F47" s="2" t="s">
        <v>16</v>
      </c>
      <c r="G47" s="2" t="s">
        <v>393</v>
      </c>
      <c r="I47" s="2" t="s">
        <v>907</v>
      </c>
      <c r="J47" s="2" t="s">
        <v>908</v>
      </c>
      <c r="L47" s="3" t="s">
        <v>909</v>
      </c>
      <c r="M47" s="4" t="s">
        <v>910</v>
      </c>
      <c r="Y47" s="4" t="s">
        <v>910</v>
      </c>
      <c r="Z47" s="3" t="s">
        <v>909</v>
      </c>
    </row>
    <row r="48" spans="3:26" x14ac:dyDescent="0.25">
      <c r="C48" s="2" t="s">
        <v>873</v>
      </c>
      <c r="D48" s="2" t="s">
        <v>872</v>
      </c>
      <c r="F48" s="2" t="s">
        <v>911</v>
      </c>
      <c r="G48" s="2" t="s">
        <v>912</v>
      </c>
      <c r="I48" s="2" t="s">
        <v>913</v>
      </c>
      <c r="J48" s="2" t="s">
        <v>914</v>
      </c>
      <c r="L48" s="3" t="s">
        <v>915</v>
      </c>
      <c r="M48" s="4" t="s">
        <v>916</v>
      </c>
      <c r="Y48" s="4" t="s">
        <v>916</v>
      </c>
      <c r="Z48" s="3" t="s">
        <v>915</v>
      </c>
    </row>
    <row r="49" spans="3:26" x14ac:dyDescent="0.25">
      <c r="C49" s="2" t="s">
        <v>393</v>
      </c>
      <c r="D49" s="2" t="s">
        <v>16</v>
      </c>
      <c r="F49" s="2" t="s">
        <v>866</v>
      </c>
      <c r="G49" s="2" t="s">
        <v>865</v>
      </c>
      <c r="I49" s="2" t="s">
        <v>917</v>
      </c>
      <c r="J49" s="2" t="s">
        <v>918</v>
      </c>
      <c r="L49" s="3" t="s">
        <v>919</v>
      </c>
      <c r="M49" s="4" t="s">
        <v>920</v>
      </c>
      <c r="Y49" s="4" t="s">
        <v>920</v>
      </c>
      <c r="Z49" s="3" t="s">
        <v>919</v>
      </c>
    </row>
    <row r="50" spans="3:26" x14ac:dyDescent="0.25">
      <c r="C50" s="2" t="s">
        <v>165</v>
      </c>
      <c r="D50" s="2" t="s">
        <v>15</v>
      </c>
      <c r="F50" s="2" t="s">
        <v>15</v>
      </c>
      <c r="G50" s="2" t="s">
        <v>165</v>
      </c>
      <c r="I50" s="2" t="s">
        <v>921</v>
      </c>
      <c r="J50" s="2" t="s">
        <v>114</v>
      </c>
      <c r="L50" s="3" t="s">
        <v>922</v>
      </c>
      <c r="M50" s="4" t="s">
        <v>923</v>
      </c>
      <c r="Y50" s="4" t="s">
        <v>923</v>
      </c>
      <c r="Z50" s="3" t="s">
        <v>922</v>
      </c>
    </row>
    <row r="51" spans="3:26" x14ac:dyDescent="0.25">
      <c r="C51" s="2" t="s">
        <v>845</v>
      </c>
      <c r="D51" s="2" t="s">
        <v>924</v>
      </c>
      <c r="F51" s="2" t="s">
        <v>925</v>
      </c>
      <c r="G51" s="2" t="s">
        <v>926</v>
      </c>
      <c r="I51" s="2" t="s">
        <v>927</v>
      </c>
      <c r="J51" s="2" t="s">
        <v>531</v>
      </c>
      <c r="L51" s="3" t="s">
        <v>928</v>
      </c>
      <c r="M51" s="4" t="s">
        <v>929</v>
      </c>
      <c r="Y51" s="4" t="s">
        <v>929</v>
      </c>
      <c r="Z51" s="3" t="s">
        <v>928</v>
      </c>
    </row>
    <row r="52" spans="3:26" x14ac:dyDescent="0.25">
      <c r="C52" s="2" t="s">
        <v>930</v>
      </c>
      <c r="D52" s="2" t="s">
        <v>931</v>
      </c>
      <c r="F52" s="2" t="s">
        <v>884</v>
      </c>
      <c r="G52" s="2" t="s">
        <v>883</v>
      </c>
      <c r="I52" s="2" t="s">
        <v>932</v>
      </c>
      <c r="J52" s="2" t="s">
        <v>933</v>
      </c>
      <c r="L52" s="3" t="s">
        <v>934</v>
      </c>
      <c r="M52" s="4" t="s">
        <v>935</v>
      </c>
      <c r="Y52" s="4" t="s">
        <v>935</v>
      </c>
      <c r="Z52" s="3" t="s">
        <v>934</v>
      </c>
    </row>
    <row r="53" spans="3:26" x14ac:dyDescent="0.25">
      <c r="C53" s="2" t="s">
        <v>832</v>
      </c>
      <c r="D53" s="2" t="s">
        <v>860</v>
      </c>
      <c r="F53" s="2" t="s">
        <v>17</v>
      </c>
      <c r="G53" s="2" t="s">
        <v>123</v>
      </c>
      <c r="I53" s="2" t="s">
        <v>936</v>
      </c>
      <c r="J53" s="2" t="s">
        <v>937</v>
      </c>
      <c r="L53" s="3" t="s">
        <v>938</v>
      </c>
      <c r="M53" s="4" t="s">
        <v>939</v>
      </c>
      <c r="Y53" s="4" t="s">
        <v>939</v>
      </c>
      <c r="Z53" s="3" t="s">
        <v>938</v>
      </c>
    </row>
    <row r="54" spans="3:26" x14ac:dyDescent="0.25">
      <c r="C54" s="2" t="s">
        <v>940</v>
      </c>
      <c r="D54" s="2" t="s">
        <v>941</v>
      </c>
      <c r="F54" s="2" t="s">
        <v>902</v>
      </c>
      <c r="G54" s="2" t="s">
        <v>901</v>
      </c>
      <c r="I54" s="2" t="s">
        <v>942</v>
      </c>
      <c r="J54" s="2" t="s">
        <v>943</v>
      </c>
      <c r="L54" s="3" t="s">
        <v>944</v>
      </c>
      <c r="M54" s="4" t="s">
        <v>945</v>
      </c>
      <c r="Y54" s="4" t="s">
        <v>945</v>
      </c>
      <c r="Z54" s="3" t="s">
        <v>944</v>
      </c>
    </row>
    <row r="55" spans="3:26" x14ac:dyDescent="0.25">
      <c r="C55" s="2" t="s">
        <v>912</v>
      </c>
      <c r="D55" s="2" t="s">
        <v>911</v>
      </c>
      <c r="F55" s="2" t="s">
        <v>924</v>
      </c>
      <c r="G55" s="2" t="s">
        <v>845</v>
      </c>
      <c r="I55" s="2" t="s">
        <v>946</v>
      </c>
      <c r="J55" s="2" t="s">
        <v>187</v>
      </c>
      <c r="L55" s="3" t="s">
        <v>947</v>
      </c>
      <c r="M55" s="4" t="s">
        <v>948</v>
      </c>
      <c r="Y55" s="4" t="s">
        <v>948</v>
      </c>
      <c r="Z55" s="3" t="s">
        <v>947</v>
      </c>
    </row>
    <row r="56" spans="3:26" x14ac:dyDescent="0.25">
      <c r="C56" s="2" t="s">
        <v>147</v>
      </c>
      <c r="D56" s="2" t="s">
        <v>949</v>
      </c>
      <c r="F56" s="2" t="s">
        <v>895</v>
      </c>
      <c r="G56" s="2" t="s">
        <v>894</v>
      </c>
      <c r="I56" s="2" t="s">
        <v>950</v>
      </c>
      <c r="J56" s="2" t="s">
        <v>951</v>
      </c>
      <c r="L56" s="3" t="s">
        <v>952</v>
      </c>
      <c r="M56" s="4" t="s">
        <v>953</v>
      </c>
      <c r="Y56" s="4" t="s">
        <v>953</v>
      </c>
      <c r="Z56" s="3" t="s">
        <v>952</v>
      </c>
    </row>
    <row r="57" spans="3:26" x14ac:dyDescent="0.25">
      <c r="C57" s="2" t="s">
        <v>954</v>
      </c>
      <c r="D57" s="2" t="s">
        <v>955</v>
      </c>
      <c r="F57" s="2" t="s">
        <v>956</v>
      </c>
      <c r="G57" s="2" t="s">
        <v>849</v>
      </c>
      <c r="I57" s="2" t="s">
        <v>957</v>
      </c>
      <c r="J57" s="2" t="s">
        <v>958</v>
      </c>
      <c r="L57" s="3" t="s">
        <v>959</v>
      </c>
      <c r="M57" s="4" t="s">
        <v>960</v>
      </c>
      <c r="Y57" s="4" t="s">
        <v>960</v>
      </c>
      <c r="Z57" s="3" t="s">
        <v>959</v>
      </c>
    </row>
    <row r="58" spans="3:26" x14ac:dyDescent="0.25">
      <c r="C58" s="2" t="s">
        <v>187</v>
      </c>
      <c r="D58" s="2" t="s">
        <v>22</v>
      </c>
      <c r="F58" s="2" t="s">
        <v>931</v>
      </c>
      <c r="G58" s="2" t="s">
        <v>930</v>
      </c>
      <c r="I58" s="2" t="s">
        <v>961</v>
      </c>
      <c r="J58" s="2" t="s">
        <v>962</v>
      </c>
      <c r="L58" s="3" t="s">
        <v>963</v>
      </c>
      <c r="M58" s="4" t="s">
        <v>964</v>
      </c>
      <c r="Y58" s="4" t="s">
        <v>964</v>
      </c>
      <c r="Z58" s="3" t="s">
        <v>963</v>
      </c>
    </row>
    <row r="59" spans="3:26" x14ac:dyDescent="0.25">
      <c r="C59" s="2" t="s">
        <v>965</v>
      </c>
      <c r="D59" s="2" t="s">
        <v>966</v>
      </c>
      <c r="F59" s="2" t="s">
        <v>941</v>
      </c>
      <c r="G59" s="2" t="s">
        <v>940</v>
      </c>
      <c r="I59" s="2" t="s">
        <v>967</v>
      </c>
      <c r="J59" s="2" t="s">
        <v>968</v>
      </c>
      <c r="L59" s="3" t="s">
        <v>969</v>
      </c>
      <c r="M59" s="4" t="s">
        <v>970</v>
      </c>
      <c r="Y59" s="4" t="s">
        <v>970</v>
      </c>
      <c r="Z59" s="3" t="s">
        <v>969</v>
      </c>
    </row>
    <row r="60" spans="3:26" x14ac:dyDescent="0.25">
      <c r="C60" s="2" t="s">
        <v>971</v>
      </c>
      <c r="D60" s="2" t="s">
        <v>972</v>
      </c>
      <c r="F60" s="2" t="s">
        <v>949</v>
      </c>
      <c r="G60" s="2" t="s">
        <v>147</v>
      </c>
      <c r="I60" s="2" t="s">
        <v>973</v>
      </c>
      <c r="J60" s="2" t="s">
        <v>974</v>
      </c>
      <c r="L60" s="3" t="s">
        <v>975</v>
      </c>
      <c r="M60" s="4" t="s">
        <v>976</v>
      </c>
      <c r="Y60" s="4" t="s">
        <v>976</v>
      </c>
      <c r="Z60" s="3" t="s">
        <v>975</v>
      </c>
    </row>
    <row r="61" spans="3:26" x14ac:dyDescent="0.25">
      <c r="C61" s="2" t="s">
        <v>977</v>
      </c>
      <c r="D61" s="2" t="s">
        <v>978</v>
      </c>
      <c r="F61" s="2" t="s">
        <v>955</v>
      </c>
      <c r="G61" s="2" t="s">
        <v>954</v>
      </c>
      <c r="I61" s="2" t="s">
        <v>979</v>
      </c>
      <c r="J61" s="2" t="s">
        <v>980</v>
      </c>
      <c r="L61" s="3" t="s">
        <v>981</v>
      </c>
      <c r="M61" s="4" t="s">
        <v>982</v>
      </c>
      <c r="Y61" s="4" t="s">
        <v>982</v>
      </c>
      <c r="Z61" s="3" t="s">
        <v>981</v>
      </c>
    </row>
    <row r="62" spans="3:26" x14ac:dyDescent="0.25">
      <c r="C62" s="2" t="s">
        <v>983</v>
      </c>
      <c r="D62" s="2" t="s">
        <v>984</v>
      </c>
      <c r="F62" s="2" t="s">
        <v>972</v>
      </c>
      <c r="G62" s="2" t="s">
        <v>971</v>
      </c>
      <c r="I62" s="2" t="s">
        <v>985</v>
      </c>
      <c r="J62" s="2" t="s">
        <v>986</v>
      </c>
      <c r="L62" s="3" t="s">
        <v>987</v>
      </c>
      <c r="M62" s="4" t="s">
        <v>988</v>
      </c>
      <c r="Y62" s="4" t="s">
        <v>988</v>
      </c>
      <c r="Z62" s="3" t="s">
        <v>987</v>
      </c>
    </row>
    <row r="63" spans="3:26" x14ac:dyDescent="0.25">
      <c r="C63" s="2" t="s">
        <v>628</v>
      </c>
      <c r="D63" s="2" t="s">
        <v>627</v>
      </c>
      <c r="F63" s="2" t="s">
        <v>966</v>
      </c>
      <c r="G63" s="2" t="s">
        <v>965</v>
      </c>
      <c r="I63" s="2" t="s">
        <v>989</v>
      </c>
      <c r="J63" s="2" t="s">
        <v>990</v>
      </c>
      <c r="L63" s="3" t="s">
        <v>991</v>
      </c>
      <c r="M63" s="4" t="s">
        <v>992</v>
      </c>
      <c r="Y63" s="4" t="s">
        <v>992</v>
      </c>
      <c r="Z63" s="3" t="s">
        <v>991</v>
      </c>
    </row>
    <row r="64" spans="3:26" x14ac:dyDescent="0.25">
      <c r="C64" s="2" t="s">
        <v>521</v>
      </c>
      <c r="D64" s="2" t="s">
        <v>20</v>
      </c>
      <c r="F64" s="2" t="s">
        <v>978</v>
      </c>
      <c r="G64" s="2" t="s">
        <v>977</v>
      </c>
      <c r="I64" s="2" t="s">
        <v>993</v>
      </c>
      <c r="J64" s="2" t="s">
        <v>994</v>
      </c>
      <c r="L64" s="3" t="s">
        <v>995</v>
      </c>
      <c r="M64" s="4" t="s">
        <v>996</v>
      </c>
      <c r="Y64" s="4" t="s">
        <v>996</v>
      </c>
      <c r="Z64" s="3" t="s">
        <v>995</v>
      </c>
    </row>
    <row r="65" spans="3:26" x14ac:dyDescent="0.25">
      <c r="C65" s="2" t="s">
        <v>908</v>
      </c>
      <c r="D65" s="2" t="s">
        <v>997</v>
      </c>
      <c r="F65" s="2" t="s">
        <v>984</v>
      </c>
      <c r="G65" s="2" t="s">
        <v>983</v>
      </c>
      <c r="I65" s="2" t="s">
        <v>998</v>
      </c>
      <c r="J65" s="2" t="s">
        <v>999</v>
      </c>
      <c r="L65" s="3" t="s">
        <v>1000</v>
      </c>
      <c r="M65" s="4" t="s">
        <v>1001</v>
      </c>
      <c r="Y65" s="4" t="s">
        <v>1001</v>
      </c>
      <c r="Z65" s="3" t="s">
        <v>1000</v>
      </c>
    </row>
    <row r="66" spans="3:26" x14ac:dyDescent="0.25">
      <c r="C66" s="2" t="s">
        <v>1002</v>
      </c>
      <c r="D66" s="2" t="s">
        <v>1003</v>
      </c>
      <c r="F66" s="2" t="s">
        <v>20</v>
      </c>
      <c r="G66" s="2" t="s">
        <v>521</v>
      </c>
      <c r="I66" s="2" t="s">
        <v>1004</v>
      </c>
      <c r="J66" s="2" t="s">
        <v>1005</v>
      </c>
      <c r="L66" s="3" t="s">
        <v>1006</v>
      </c>
      <c r="M66" s="4" t="s">
        <v>1007</v>
      </c>
      <c r="Y66" s="4" t="s">
        <v>1007</v>
      </c>
      <c r="Z66" s="3" t="s">
        <v>1006</v>
      </c>
    </row>
    <row r="67" spans="3:26" x14ac:dyDescent="0.25">
      <c r="C67" s="2" t="s">
        <v>1008</v>
      </c>
      <c r="D67" s="2" t="s">
        <v>1009</v>
      </c>
      <c r="F67" s="2" t="s">
        <v>1003</v>
      </c>
      <c r="G67" s="2" t="s">
        <v>1002</v>
      </c>
      <c r="I67" s="2" t="s">
        <v>1010</v>
      </c>
      <c r="J67" s="2" t="s">
        <v>494</v>
      </c>
      <c r="L67" s="3" t="s">
        <v>1011</v>
      </c>
      <c r="M67" s="4" t="s">
        <v>1012</v>
      </c>
      <c r="Y67" s="4" t="s">
        <v>1012</v>
      </c>
      <c r="Z67" s="3" t="s">
        <v>1011</v>
      </c>
    </row>
    <row r="68" spans="3:26" x14ac:dyDescent="0.25">
      <c r="C68" s="2" t="s">
        <v>1013</v>
      </c>
      <c r="D68" s="2" t="s">
        <v>1014</v>
      </c>
      <c r="F68" s="2" t="s">
        <v>1015</v>
      </c>
      <c r="G68" s="2" t="s">
        <v>1016</v>
      </c>
      <c r="I68" s="2" t="s">
        <v>1017</v>
      </c>
      <c r="J68" s="2" t="s">
        <v>119</v>
      </c>
      <c r="L68" s="3" t="s">
        <v>1018</v>
      </c>
      <c r="M68" s="4" t="s">
        <v>1019</v>
      </c>
      <c r="Y68" s="4" t="s">
        <v>1019</v>
      </c>
      <c r="Z68" s="3" t="s">
        <v>1018</v>
      </c>
    </row>
    <row r="69" spans="3:26" x14ac:dyDescent="0.25">
      <c r="C69" s="2" t="s">
        <v>1020</v>
      </c>
      <c r="D69" s="2" t="s">
        <v>1021</v>
      </c>
      <c r="F69" s="2" t="s">
        <v>1022</v>
      </c>
      <c r="G69" s="2" t="s">
        <v>1023</v>
      </c>
      <c r="I69" s="2" t="s">
        <v>1024</v>
      </c>
      <c r="J69" s="2" t="s">
        <v>1025</v>
      </c>
      <c r="L69" s="3" t="s">
        <v>1026</v>
      </c>
      <c r="M69" s="4" t="s">
        <v>1027</v>
      </c>
      <c r="Y69" s="4" t="s">
        <v>1027</v>
      </c>
      <c r="Z69" s="3" t="s">
        <v>1026</v>
      </c>
    </row>
    <row r="70" spans="3:26" x14ac:dyDescent="0.25">
      <c r="C70" s="2" t="s">
        <v>904</v>
      </c>
      <c r="D70" s="2" t="s">
        <v>1028</v>
      </c>
      <c r="F70" s="2" t="s">
        <v>1014</v>
      </c>
      <c r="G70" s="2" t="s">
        <v>1013</v>
      </c>
      <c r="I70" s="2" t="s">
        <v>1029</v>
      </c>
      <c r="J70" s="2" t="s">
        <v>1030</v>
      </c>
      <c r="L70" s="3" t="s">
        <v>1031</v>
      </c>
      <c r="M70" s="4" t="s">
        <v>1032</v>
      </c>
      <c r="Y70" s="4" t="s">
        <v>1032</v>
      </c>
      <c r="Z70" s="3" t="s">
        <v>1031</v>
      </c>
    </row>
    <row r="71" spans="3:26" x14ac:dyDescent="0.25">
      <c r="C71" s="2" t="s">
        <v>114</v>
      </c>
      <c r="D71" s="2" t="s">
        <v>21</v>
      </c>
      <c r="F71" s="2" t="s">
        <v>997</v>
      </c>
      <c r="G71" s="2" t="s">
        <v>908</v>
      </c>
      <c r="I71" s="2" t="s">
        <v>1033</v>
      </c>
      <c r="J71" s="2" t="s">
        <v>1034</v>
      </c>
      <c r="L71" s="3" t="s">
        <v>1035</v>
      </c>
      <c r="M71" s="4" t="s">
        <v>1036</v>
      </c>
      <c r="Y71" s="4" t="s">
        <v>1036</v>
      </c>
      <c r="Z71" s="3" t="s">
        <v>1035</v>
      </c>
    </row>
    <row r="72" spans="3:26" x14ac:dyDescent="0.25">
      <c r="C72" s="2" t="s">
        <v>918</v>
      </c>
      <c r="D72" s="2" t="s">
        <v>1037</v>
      </c>
      <c r="F72" s="2" t="s">
        <v>1028</v>
      </c>
      <c r="G72" s="2" t="s">
        <v>904</v>
      </c>
      <c r="I72" s="2" t="s">
        <v>1038</v>
      </c>
      <c r="J72" s="2" t="s">
        <v>840</v>
      </c>
      <c r="L72" s="3" t="s">
        <v>1039</v>
      </c>
      <c r="M72" s="4" t="s">
        <v>1040</v>
      </c>
      <c r="Y72" s="4" t="s">
        <v>1040</v>
      </c>
      <c r="Z72" s="3" t="s">
        <v>1039</v>
      </c>
    </row>
    <row r="73" spans="3:26" x14ac:dyDescent="0.25">
      <c r="C73" s="2" t="s">
        <v>1041</v>
      </c>
      <c r="D73" s="2" t="s">
        <v>1042</v>
      </c>
      <c r="F73" s="2" t="s">
        <v>1042</v>
      </c>
      <c r="G73" s="2" t="s">
        <v>1041</v>
      </c>
      <c r="I73" s="2" t="s">
        <v>1043</v>
      </c>
      <c r="J73" s="2" t="s">
        <v>1044</v>
      </c>
      <c r="L73" s="3" t="s">
        <v>1045</v>
      </c>
      <c r="M73" s="4" t="s">
        <v>1046</v>
      </c>
      <c r="Y73" s="4" t="s">
        <v>1046</v>
      </c>
      <c r="Z73" s="3" t="s">
        <v>1045</v>
      </c>
    </row>
    <row r="74" spans="3:26" x14ac:dyDescent="0.25">
      <c r="C74" s="2" t="s">
        <v>1047</v>
      </c>
      <c r="D74" s="2" t="s">
        <v>1048</v>
      </c>
      <c r="F74" s="2" t="s">
        <v>1049</v>
      </c>
      <c r="G74" s="2" t="s">
        <v>914</v>
      </c>
      <c r="I74" s="2" t="s">
        <v>1050</v>
      </c>
      <c r="J74" s="2" t="s">
        <v>214</v>
      </c>
      <c r="L74" s="3" t="s">
        <v>1051</v>
      </c>
      <c r="M74" s="4" t="s">
        <v>1052</v>
      </c>
      <c r="Y74" s="4" t="s">
        <v>1052</v>
      </c>
      <c r="Z74" s="3" t="s">
        <v>1051</v>
      </c>
    </row>
    <row r="75" spans="3:26" x14ac:dyDescent="0.25">
      <c r="C75" s="2" t="s">
        <v>914</v>
      </c>
      <c r="D75" s="2" t="s">
        <v>1049</v>
      </c>
      <c r="F75" s="2" t="s">
        <v>1037</v>
      </c>
      <c r="G75" s="2" t="s">
        <v>918</v>
      </c>
      <c r="I75" s="2" t="s">
        <v>1053</v>
      </c>
      <c r="J75" s="2" t="s">
        <v>1054</v>
      </c>
      <c r="L75" s="3" t="s">
        <v>1055</v>
      </c>
      <c r="M75" s="4" t="s">
        <v>1056</v>
      </c>
      <c r="Y75" s="4" t="s">
        <v>1056</v>
      </c>
      <c r="Z75" s="3" t="s">
        <v>1055</v>
      </c>
    </row>
    <row r="76" spans="3:26" x14ac:dyDescent="0.25">
      <c r="C76" s="2" t="s">
        <v>531</v>
      </c>
      <c r="D76" s="2" t="s">
        <v>18</v>
      </c>
      <c r="F76" s="2" t="s">
        <v>21</v>
      </c>
      <c r="G76" s="2" t="s">
        <v>114</v>
      </c>
      <c r="I76" s="2" t="s">
        <v>1057</v>
      </c>
      <c r="J76" s="2" t="s">
        <v>1058</v>
      </c>
      <c r="L76" s="3" t="s">
        <v>1059</v>
      </c>
      <c r="M76" s="4" t="s">
        <v>1060</v>
      </c>
      <c r="Y76" s="4" t="s">
        <v>1060</v>
      </c>
      <c r="Z76" s="3" t="s">
        <v>1059</v>
      </c>
    </row>
    <row r="77" spans="3:26" x14ac:dyDescent="0.25">
      <c r="C77" s="2" t="s">
        <v>1025</v>
      </c>
      <c r="D77" s="2" t="s">
        <v>1061</v>
      </c>
      <c r="F77" s="2" t="s">
        <v>18</v>
      </c>
      <c r="G77" s="2" t="s">
        <v>531</v>
      </c>
      <c r="I77" s="2" t="s">
        <v>1062</v>
      </c>
      <c r="J77" s="2" t="s">
        <v>1063</v>
      </c>
      <c r="L77" s="3" t="s">
        <v>1064</v>
      </c>
      <c r="M77" s="4" t="s">
        <v>1065</v>
      </c>
      <c r="Y77" s="4" t="s">
        <v>1065</v>
      </c>
      <c r="Z77" s="3" t="s">
        <v>1064</v>
      </c>
    </row>
    <row r="78" spans="3:26" x14ac:dyDescent="0.25">
      <c r="C78" s="2" t="s">
        <v>109</v>
      </c>
      <c r="D78" s="2" t="s">
        <v>50</v>
      </c>
      <c r="F78" s="2" t="s">
        <v>1066</v>
      </c>
      <c r="G78" s="2" t="s">
        <v>1067</v>
      </c>
      <c r="I78" s="2" t="s">
        <v>1068</v>
      </c>
      <c r="J78" s="2" t="s">
        <v>1069</v>
      </c>
      <c r="L78" s="3" t="s">
        <v>1070</v>
      </c>
      <c r="M78" s="4" t="s">
        <v>1071</v>
      </c>
      <c r="Y78" s="4" t="s">
        <v>1071</v>
      </c>
      <c r="Z78" s="3" t="s">
        <v>1070</v>
      </c>
    </row>
    <row r="79" spans="3:26" x14ac:dyDescent="0.25">
      <c r="C79" s="2" t="s">
        <v>1072</v>
      </c>
      <c r="D79" s="2" t="s">
        <v>1073</v>
      </c>
      <c r="F79" s="2" t="s">
        <v>1074</v>
      </c>
      <c r="G79" s="2" t="s">
        <v>1075</v>
      </c>
      <c r="I79" s="2" t="s">
        <v>1076</v>
      </c>
      <c r="J79" s="2" t="s">
        <v>1077</v>
      </c>
      <c r="L79" s="3" t="s">
        <v>1078</v>
      </c>
      <c r="M79" s="4" t="s">
        <v>1079</v>
      </c>
      <c r="Y79" s="4" t="s">
        <v>1079</v>
      </c>
      <c r="Z79" s="3" t="s">
        <v>1078</v>
      </c>
    </row>
    <row r="80" spans="3:26" x14ac:dyDescent="0.25">
      <c r="C80" s="2" t="s">
        <v>1080</v>
      </c>
      <c r="D80" s="2" t="s">
        <v>1081</v>
      </c>
      <c r="F80" s="2" t="s">
        <v>1082</v>
      </c>
      <c r="G80" s="2" t="s">
        <v>1083</v>
      </c>
      <c r="I80" s="2" t="s">
        <v>1084</v>
      </c>
      <c r="J80" s="2" t="s">
        <v>1085</v>
      </c>
      <c r="L80" s="3" t="s">
        <v>1086</v>
      </c>
      <c r="M80" s="4" t="s">
        <v>1087</v>
      </c>
      <c r="Y80" s="4" t="s">
        <v>1087</v>
      </c>
      <c r="Z80" s="3" t="s">
        <v>1086</v>
      </c>
    </row>
    <row r="81" spans="3:26" x14ac:dyDescent="0.25">
      <c r="C81" s="2" t="s">
        <v>1067</v>
      </c>
      <c r="D81" s="2" t="s">
        <v>1066</v>
      </c>
      <c r="F81" s="2" t="s">
        <v>1061</v>
      </c>
      <c r="G81" s="2" t="s">
        <v>1025</v>
      </c>
      <c r="I81" s="2" t="s">
        <v>1088</v>
      </c>
      <c r="J81" s="2" t="s">
        <v>1089</v>
      </c>
      <c r="L81" s="3" t="s">
        <v>1090</v>
      </c>
      <c r="M81" s="4" t="s">
        <v>1091</v>
      </c>
      <c r="Y81" s="4" t="s">
        <v>1091</v>
      </c>
      <c r="Z81" s="3" t="s">
        <v>1090</v>
      </c>
    </row>
    <row r="82" spans="3:26" x14ac:dyDescent="0.25">
      <c r="C82" s="2" t="s">
        <v>437</v>
      </c>
      <c r="D82" s="2" t="s">
        <v>23</v>
      </c>
      <c r="F82" s="2" t="s">
        <v>1092</v>
      </c>
      <c r="G82" s="2" t="s">
        <v>1093</v>
      </c>
      <c r="I82" s="2" t="s">
        <v>1094</v>
      </c>
      <c r="J82" s="2" t="s">
        <v>1095</v>
      </c>
      <c r="L82" s="3" t="s">
        <v>1096</v>
      </c>
      <c r="M82" s="4" t="s">
        <v>1097</v>
      </c>
      <c r="Y82" s="4" t="s">
        <v>1097</v>
      </c>
      <c r="Z82" s="3" t="s">
        <v>1096</v>
      </c>
    </row>
    <row r="83" spans="3:26" x14ac:dyDescent="0.25">
      <c r="C83" s="2" t="s">
        <v>1098</v>
      </c>
      <c r="D83" s="2" t="s">
        <v>1099</v>
      </c>
      <c r="F83" s="2" t="s">
        <v>1081</v>
      </c>
      <c r="G83" s="2" t="s">
        <v>1080</v>
      </c>
      <c r="I83" s="2" t="s">
        <v>1100</v>
      </c>
      <c r="J83" s="2" t="s">
        <v>926</v>
      </c>
      <c r="L83" s="3" t="s">
        <v>1101</v>
      </c>
      <c r="M83" s="4" t="s">
        <v>1102</v>
      </c>
      <c r="Y83" s="4" t="s">
        <v>1102</v>
      </c>
      <c r="Z83" s="3" t="s">
        <v>1101</v>
      </c>
    </row>
    <row r="84" spans="3:26" x14ac:dyDescent="0.25">
      <c r="C84" s="2" t="s">
        <v>1103</v>
      </c>
      <c r="D84" s="2" t="s">
        <v>1104</v>
      </c>
      <c r="F84" s="2" t="s">
        <v>22</v>
      </c>
      <c r="G84" s="2" t="s">
        <v>187</v>
      </c>
      <c r="I84" s="2" t="s">
        <v>1105</v>
      </c>
      <c r="J84" s="2" t="s">
        <v>1106</v>
      </c>
      <c r="L84" s="3" t="s">
        <v>1107</v>
      </c>
      <c r="M84" s="4" t="s">
        <v>1108</v>
      </c>
      <c r="Y84" s="4" t="s">
        <v>1108</v>
      </c>
      <c r="Z84" s="3" t="s">
        <v>1107</v>
      </c>
    </row>
    <row r="85" spans="3:26" x14ac:dyDescent="0.25">
      <c r="C85" s="2" t="s">
        <v>937</v>
      </c>
      <c r="D85" s="2" t="s">
        <v>1109</v>
      </c>
      <c r="F85" s="2" t="s">
        <v>1099</v>
      </c>
      <c r="G85" s="2" t="s">
        <v>1098</v>
      </c>
      <c r="I85" s="2" t="s">
        <v>1110</v>
      </c>
      <c r="J85" s="2" t="s">
        <v>1111</v>
      </c>
      <c r="L85" s="3" t="s">
        <v>1112</v>
      </c>
      <c r="M85" s="4" t="s">
        <v>1113</v>
      </c>
      <c r="Y85" s="4" t="s">
        <v>1113</v>
      </c>
      <c r="Z85" s="3" t="s">
        <v>1112</v>
      </c>
    </row>
    <row r="86" spans="3:26" x14ac:dyDescent="0.25">
      <c r="C86" s="2" t="s">
        <v>1093</v>
      </c>
      <c r="D86" s="2" t="s">
        <v>1092</v>
      </c>
      <c r="F86" s="2" t="s">
        <v>1104</v>
      </c>
      <c r="G86" s="2" t="s">
        <v>1103</v>
      </c>
      <c r="I86" s="2" t="s">
        <v>1114</v>
      </c>
      <c r="J86" s="2" t="s">
        <v>322</v>
      </c>
      <c r="L86" s="3" t="s">
        <v>1115</v>
      </c>
      <c r="M86" s="4" t="s">
        <v>1116</v>
      </c>
      <c r="Y86" s="4" t="s">
        <v>1116</v>
      </c>
      <c r="Z86" s="3" t="s">
        <v>1115</v>
      </c>
    </row>
    <row r="87" spans="3:26" x14ac:dyDescent="0.25">
      <c r="C87" s="2" t="s">
        <v>958</v>
      </c>
      <c r="D87" s="2" t="s">
        <v>1117</v>
      </c>
      <c r="F87" s="2" t="s">
        <v>1118</v>
      </c>
      <c r="G87" s="2" t="s">
        <v>1119</v>
      </c>
      <c r="I87" s="2" t="s">
        <v>1120</v>
      </c>
      <c r="J87" s="2" t="s">
        <v>1121</v>
      </c>
      <c r="L87" s="3" t="s">
        <v>1122</v>
      </c>
      <c r="M87" s="4" t="s">
        <v>1123</v>
      </c>
      <c r="Y87" s="4" t="s">
        <v>1123</v>
      </c>
      <c r="Z87" s="3" t="s">
        <v>1122</v>
      </c>
    </row>
    <row r="88" spans="3:26" x14ac:dyDescent="0.25">
      <c r="C88" s="2" t="s">
        <v>1124</v>
      </c>
      <c r="D88" s="2" t="s">
        <v>1125</v>
      </c>
      <c r="F88" s="2" t="s">
        <v>1109</v>
      </c>
      <c r="G88" s="2" t="s">
        <v>937</v>
      </c>
      <c r="I88" s="2" t="s">
        <v>1126</v>
      </c>
      <c r="J88" s="2" t="s">
        <v>1127</v>
      </c>
      <c r="L88" s="3" t="s">
        <v>1128</v>
      </c>
      <c r="M88" s="4" t="s">
        <v>1129</v>
      </c>
      <c r="Y88" s="4" t="s">
        <v>1129</v>
      </c>
      <c r="Z88" s="3" t="s">
        <v>1128</v>
      </c>
    </row>
    <row r="89" spans="3:26" x14ac:dyDescent="0.25">
      <c r="C89" s="2" t="s">
        <v>1023</v>
      </c>
      <c r="D89" s="2" t="s">
        <v>1022</v>
      </c>
      <c r="F89" s="2" t="s">
        <v>1073</v>
      </c>
      <c r="G89" s="2" t="s">
        <v>1072</v>
      </c>
      <c r="I89" s="2" t="s">
        <v>1130</v>
      </c>
      <c r="J89" s="2" t="s">
        <v>1131</v>
      </c>
      <c r="L89" s="3" t="s">
        <v>1132</v>
      </c>
      <c r="M89" s="4" t="s">
        <v>1133</v>
      </c>
      <c r="Y89" s="4" t="s">
        <v>1133</v>
      </c>
      <c r="Z89" s="3" t="s">
        <v>1132</v>
      </c>
    </row>
    <row r="90" spans="3:26" x14ac:dyDescent="0.25">
      <c r="C90" s="2" t="s">
        <v>1119</v>
      </c>
      <c r="D90" s="2" t="s">
        <v>1118</v>
      </c>
      <c r="F90" s="2" t="s">
        <v>1125</v>
      </c>
      <c r="G90" s="2" t="s">
        <v>1124</v>
      </c>
      <c r="I90" s="2" t="s">
        <v>1134</v>
      </c>
      <c r="J90" s="2" t="s">
        <v>1135</v>
      </c>
      <c r="L90" s="3" t="s">
        <v>1136</v>
      </c>
      <c r="M90" s="4" t="s">
        <v>1137</v>
      </c>
      <c r="Y90" s="4" t="s">
        <v>1137</v>
      </c>
      <c r="Z90" s="3" t="s">
        <v>1136</v>
      </c>
    </row>
    <row r="91" spans="3:26" x14ac:dyDescent="0.25">
      <c r="C91" s="2" t="s">
        <v>1138</v>
      </c>
      <c r="D91" s="2" t="s">
        <v>1139</v>
      </c>
      <c r="F91" s="2" t="s">
        <v>1140</v>
      </c>
      <c r="G91" s="2" t="s">
        <v>962</v>
      </c>
      <c r="I91" s="2" t="s">
        <v>1141</v>
      </c>
      <c r="J91" s="2" t="s">
        <v>1142</v>
      </c>
      <c r="L91" s="3" t="s">
        <v>1143</v>
      </c>
      <c r="M91" s="4" t="s">
        <v>1144</v>
      </c>
      <c r="Y91" s="4" t="s">
        <v>1144</v>
      </c>
      <c r="Z91" s="3" t="s">
        <v>1143</v>
      </c>
    </row>
    <row r="92" spans="3:26" x14ac:dyDescent="0.25">
      <c r="C92" s="2" t="s">
        <v>1145</v>
      </c>
      <c r="D92" s="2" t="s">
        <v>1146</v>
      </c>
      <c r="F92" s="2" t="s">
        <v>1146</v>
      </c>
      <c r="G92" s="2" t="s">
        <v>1145</v>
      </c>
      <c r="I92" s="2" t="s">
        <v>1147</v>
      </c>
      <c r="J92" s="2" t="s">
        <v>1148</v>
      </c>
      <c r="L92" s="3" t="s">
        <v>1149</v>
      </c>
      <c r="M92" s="4" t="s">
        <v>1150</v>
      </c>
      <c r="Y92" s="4" t="s">
        <v>1150</v>
      </c>
      <c r="Z92" s="3" t="s">
        <v>1149</v>
      </c>
    </row>
    <row r="93" spans="3:26" x14ac:dyDescent="0.25">
      <c r="C93" s="2" t="s">
        <v>962</v>
      </c>
      <c r="D93" s="2" t="s">
        <v>1140</v>
      </c>
      <c r="F93" s="2" t="s">
        <v>23</v>
      </c>
      <c r="G93" s="2" t="s">
        <v>437</v>
      </c>
      <c r="I93" s="2" t="s">
        <v>1151</v>
      </c>
      <c r="J93" s="2" t="s">
        <v>1152</v>
      </c>
      <c r="L93" s="3" t="s">
        <v>1153</v>
      </c>
      <c r="M93" s="4" t="s">
        <v>1154</v>
      </c>
      <c r="Y93" s="4" t="s">
        <v>1154</v>
      </c>
      <c r="Z93" s="3" t="s">
        <v>1153</v>
      </c>
    </row>
    <row r="94" spans="3:26" x14ac:dyDescent="0.25">
      <c r="C94" s="2" t="s">
        <v>1155</v>
      </c>
      <c r="D94" s="2" t="s">
        <v>1156</v>
      </c>
      <c r="F94" s="2" t="s">
        <v>1117</v>
      </c>
      <c r="G94" s="2" t="s">
        <v>958</v>
      </c>
      <c r="I94" s="2" t="s">
        <v>1157</v>
      </c>
      <c r="J94" s="2" t="s">
        <v>1158</v>
      </c>
      <c r="L94" s="3" t="s">
        <v>1159</v>
      </c>
      <c r="M94" s="4" t="s">
        <v>1160</v>
      </c>
      <c r="Y94" s="4" t="s">
        <v>1160</v>
      </c>
      <c r="Z94" s="3" t="s">
        <v>1159</v>
      </c>
    </row>
    <row r="95" spans="3:26" x14ac:dyDescent="0.25">
      <c r="C95" s="2" t="s">
        <v>1161</v>
      </c>
      <c r="D95" s="2" t="s">
        <v>1162</v>
      </c>
      <c r="F95" s="2" t="s">
        <v>1156</v>
      </c>
      <c r="G95" s="2" t="s">
        <v>1155</v>
      </c>
      <c r="I95" s="2" t="s">
        <v>1163</v>
      </c>
      <c r="J95" s="2" t="s">
        <v>1164</v>
      </c>
      <c r="L95" s="3" t="s">
        <v>1165</v>
      </c>
      <c r="M95" s="4" t="s">
        <v>1166</v>
      </c>
      <c r="Y95" s="4" t="s">
        <v>1166</v>
      </c>
      <c r="Z95" s="3" t="s">
        <v>1165</v>
      </c>
    </row>
    <row r="96" spans="3:26" x14ac:dyDescent="0.25">
      <c r="C96" s="2" t="s">
        <v>340</v>
      </c>
      <c r="D96" s="2" t="s">
        <v>24</v>
      </c>
      <c r="F96" s="2" t="s">
        <v>1162</v>
      </c>
      <c r="G96" s="2" t="s">
        <v>1161</v>
      </c>
      <c r="I96" s="2" t="s">
        <v>1167</v>
      </c>
      <c r="J96" s="2" t="s">
        <v>1168</v>
      </c>
      <c r="L96" s="3" t="s">
        <v>1169</v>
      </c>
      <c r="M96" s="4" t="s">
        <v>1170</v>
      </c>
      <c r="Y96" s="4" t="s">
        <v>1170</v>
      </c>
      <c r="Z96" s="3" t="s">
        <v>1169</v>
      </c>
    </row>
    <row r="97" spans="3:26" x14ac:dyDescent="0.25">
      <c r="C97" s="2" t="s">
        <v>1171</v>
      </c>
      <c r="D97" s="2" t="s">
        <v>1172</v>
      </c>
      <c r="F97" s="2" t="s">
        <v>1173</v>
      </c>
      <c r="G97" s="2" t="s">
        <v>968</v>
      </c>
      <c r="I97" s="2" t="s">
        <v>1174</v>
      </c>
      <c r="J97" s="2" t="s">
        <v>1175</v>
      </c>
      <c r="L97" s="3" t="s">
        <v>1176</v>
      </c>
      <c r="M97" s="4" t="s">
        <v>1177</v>
      </c>
      <c r="Y97" s="4" t="s">
        <v>1177</v>
      </c>
      <c r="Z97" s="3" t="s">
        <v>1176</v>
      </c>
    </row>
    <row r="98" spans="3:26" x14ac:dyDescent="0.25">
      <c r="C98" s="2" t="s">
        <v>1178</v>
      </c>
      <c r="D98" s="2" t="s">
        <v>1179</v>
      </c>
      <c r="F98" s="2" t="s">
        <v>1172</v>
      </c>
      <c r="G98" s="2" t="s">
        <v>1171</v>
      </c>
      <c r="I98" s="2" t="s">
        <v>1180</v>
      </c>
      <c r="J98" s="2" t="s">
        <v>1181</v>
      </c>
      <c r="L98" s="3" t="s">
        <v>1182</v>
      </c>
      <c r="M98" s="4" t="s">
        <v>1183</v>
      </c>
      <c r="Y98" s="4" t="s">
        <v>1183</v>
      </c>
      <c r="Z98" s="3" t="s">
        <v>1182</v>
      </c>
    </row>
    <row r="99" spans="3:26" x14ac:dyDescent="0.25">
      <c r="C99" s="2" t="s">
        <v>849</v>
      </c>
      <c r="D99" s="2" t="s">
        <v>956</v>
      </c>
      <c r="F99" s="2" t="s">
        <v>1184</v>
      </c>
      <c r="G99" s="2" t="s">
        <v>1185</v>
      </c>
      <c r="I99" s="2" t="s">
        <v>1186</v>
      </c>
      <c r="J99" s="2" t="s">
        <v>441</v>
      </c>
      <c r="L99" s="3" t="s">
        <v>1187</v>
      </c>
      <c r="M99" s="4" t="s">
        <v>1188</v>
      </c>
      <c r="Y99" s="4" t="s">
        <v>1188</v>
      </c>
      <c r="Z99" s="3" t="s">
        <v>1187</v>
      </c>
    </row>
    <row r="100" spans="3:26" x14ac:dyDescent="0.25">
      <c r="C100" s="2" t="s">
        <v>968</v>
      </c>
      <c r="D100" s="2" t="s">
        <v>1173</v>
      </c>
      <c r="F100" s="2" t="s">
        <v>1179</v>
      </c>
      <c r="G100" s="2" t="s">
        <v>1178</v>
      </c>
      <c r="I100" s="2" t="s">
        <v>1189</v>
      </c>
      <c r="J100" s="2" t="s">
        <v>1190</v>
      </c>
      <c r="L100" s="3" t="s">
        <v>1191</v>
      </c>
      <c r="M100" s="4" t="s">
        <v>1192</v>
      </c>
      <c r="Y100" s="4" t="s">
        <v>1192</v>
      </c>
      <c r="Z100" s="3" t="s">
        <v>1191</v>
      </c>
    </row>
    <row r="101" spans="3:26" x14ac:dyDescent="0.25">
      <c r="C101" s="2" t="s">
        <v>999</v>
      </c>
      <c r="D101" s="2" t="s">
        <v>1193</v>
      </c>
      <c r="F101" s="2" t="s">
        <v>24</v>
      </c>
      <c r="G101" s="2" t="s">
        <v>340</v>
      </c>
      <c r="I101" s="2" t="s">
        <v>1194</v>
      </c>
      <c r="J101" s="2" t="s">
        <v>1195</v>
      </c>
      <c r="L101" s="3" t="s">
        <v>1196</v>
      </c>
      <c r="M101" s="4" t="s">
        <v>1197</v>
      </c>
      <c r="Y101" s="4" t="s">
        <v>1197</v>
      </c>
      <c r="Z101" s="3" t="s">
        <v>1196</v>
      </c>
    </row>
    <row r="102" spans="3:26" x14ac:dyDescent="0.25">
      <c r="C102" s="2" t="s">
        <v>494</v>
      </c>
      <c r="D102" s="2" t="s">
        <v>26</v>
      </c>
      <c r="F102" s="2" t="s">
        <v>1193</v>
      </c>
      <c r="G102" s="2" t="s">
        <v>999</v>
      </c>
      <c r="I102" s="2" t="s">
        <v>1198</v>
      </c>
      <c r="J102" s="2" t="s">
        <v>1199</v>
      </c>
      <c r="L102" s="3" t="s">
        <v>1200</v>
      </c>
      <c r="M102" s="4" t="s">
        <v>1201</v>
      </c>
      <c r="Y102" s="4" t="s">
        <v>1201</v>
      </c>
      <c r="Z102" s="3" t="s">
        <v>1200</v>
      </c>
    </row>
    <row r="103" spans="3:26" x14ac:dyDescent="0.25">
      <c r="C103" s="2" t="s">
        <v>119</v>
      </c>
      <c r="D103" s="2" t="s">
        <v>28</v>
      </c>
      <c r="F103" s="2" t="s">
        <v>1202</v>
      </c>
      <c r="G103" s="2" t="s">
        <v>1044</v>
      </c>
      <c r="I103" s="2" t="s">
        <v>1203</v>
      </c>
      <c r="J103" s="2" t="s">
        <v>1204</v>
      </c>
      <c r="L103" s="3" t="s">
        <v>1205</v>
      </c>
      <c r="M103" s="4" t="s">
        <v>1206</v>
      </c>
      <c r="Y103" s="4" t="s">
        <v>1206</v>
      </c>
      <c r="Z103" s="3" t="s">
        <v>1205</v>
      </c>
    </row>
    <row r="104" spans="3:26" ht="30" x14ac:dyDescent="0.25">
      <c r="C104" s="2" t="s">
        <v>342</v>
      </c>
      <c r="D104" s="2" t="s">
        <v>29</v>
      </c>
      <c r="F104" s="2" t="s">
        <v>25</v>
      </c>
      <c r="G104" s="2" t="s">
        <v>141</v>
      </c>
      <c r="I104" s="2" t="s">
        <v>1207</v>
      </c>
      <c r="J104" s="2" t="s">
        <v>1208</v>
      </c>
      <c r="L104" s="3" t="s">
        <v>1209</v>
      </c>
      <c r="M104" s="4" t="s">
        <v>1210</v>
      </c>
      <c r="Y104" s="4" t="s">
        <v>1210</v>
      </c>
      <c r="Z104" s="3" t="s">
        <v>1209</v>
      </c>
    </row>
    <row r="105" spans="3:26" x14ac:dyDescent="0.25">
      <c r="C105" s="2" t="s">
        <v>382</v>
      </c>
      <c r="D105" s="2" t="s">
        <v>27</v>
      </c>
      <c r="F105" s="2" t="s">
        <v>26</v>
      </c>
      <c r="G105" s="2" t="s">
        <v>494</v>
      </c>
      <c r="I105" s="2" t="s">
        <v>1211</v>
      </c>
      <c r="J105" s="2" t="s">
        <v>1212</v>
      </c>
      <c r="L105" s="3" t="s">
        <v>1213</v>
      </c>
      <c r="M105" s="4" t="s">
        <v>1214</v>
      </c>
      <c r="Y105" s="4" t="s">
        <v>1214</v>
      </c>
      <c r="Z105" s="3" t="s">
        <v>1213</v>
      </c>
    </row>
    <row r="106" spans="3:26" x14ac:dyDescent="0.25">
      <c r="C106" s="2" t="s">
        <v>141</v>
      </c>
      <c r="D106" s="2" t="s">
        <v>25</v>
      </c>
      <c r="F106" s="2" t="s">
        <v>1215</v>
      </c>
      <c r="G106" s="2" t="s">
        <v>1216</v>
      </c>
      <c r="I106" s="2" t="s">
        <v>1217</v>
      </c>
      <c r="J106" s="2" t="s">
        <v>403</v>
      </c>
      <c r="L106" s="3" t="s">
        <v>1218</v>
      </c>
      <c r="M106" s="4" t="s">
        <v>1219</v>
      </c>
      <c r="Y106" s="4" t="s">
        <v>1219</v>
      </c>
      <c r="Z106" s="3" t="s">
        <v>1218</v>
      </c>
    </row>
    <row r="107" spans="3:26" x14ac:dyDescent="0.25">
      <c r="C107" s="2" t="s">
        <v>840</v>
      </c>
      <c r="D107" s="2" t="s">
        <v>839</v>
      </c>
      <c r="F107" s="2" t="s">
        <v>1220</v>
      </c>
      <c r="G107" s="2" t="s">
        <v>1221</v>
      </c>
      <c r="I107" s="2" t="s">
        <v>1222</v>
      </c>
      <c r="J107" s="2" t="s">
        <v>1223</v>
      </c>
      <c r="L107" s="3" t="s">
        <v>1224</v>
      </c>
      <c r="M107" s="4" t="s">
        <v>1225</v>
      </c>
      <c r="Y107" s="4" t="s">
        <v>1225</v>
      </c>
      <c r="Z107" s="3" t="s">
        <v>1224</v>
      </c>
    </row>
    <row r="108" spans="3:26" x14ac:dyDescent="0.25">
      <c r="C108" s="2" t="s">
        <v>1221</v>
      </c>
      <c r="D108" s="2" t="s">
        <v>1220</v>
      </c>
      <c r="F108" s="2" t="s">
        <v>28</v>
      </c>
      <c r="G108" s="2" t="s">
        <v>119</v>
      </c>
      <c r="I108" s="2" t="s">
        <v>1226</v>
      </c>
      <c r="J108" s="2" t="s">
        <v>1227</v>
      </c>
      <c r="L108" s="3" t="s">
        <v>1228</v>
      </c>
      <c r="M108" s="4" t="s">
        <v>1229</v>
      </c>
      <c r="Y108" s="4" t="s">
        <v>1229</v>
      </c>
      <c r="Z108" s="3" t="s">
        <v>1228</v>
      </c>
    </row>
    <row r="109" spans="3:26" x14ac:dyDescent="0.25">
      <c r="C109" s="2" t="s">
        <v>1216</v>
      </c>
      <c r="D109" s="2" t="s">
        <v>1215</v>
      </c>
      <c r="F109" s="2" t="s">
        <v>27</v>
      </c>
      <c r="G109" s="2" t="s">
        <v>382</v>
      </c>
      <c r="I109" s="2" t="s">
        <v>1230</v>
      </c>
      <c r="J109" s="2" t="s">
        <v>1231</v>
      </c>
      <c r="L109" s="3" t="s">
        <v>1232</v>
      </c>
      <c r="M109" s="4" t="s">
        <v>1233</v>
      </c>
      <c r="Y109" s="4" t="s">
        <v>1233</v>
      </c>
      <c r="Z109" s="3" t="s">
        <v>1232</v>
      </c>
    </row>
    <row r="110" spans="3:26" x14ac:dyDescent="0.25">
      <c r="C110" s="2" t="s">
        <v>1044</v>
      </c>
      <c r="D110" s="2" t="s">
        <v>1202</v>
      </c>
      <c r="F110" s="2" t="s">
        <v>29</v>
      </c>
      <c r="G110" s="2" t="s">
        <v>342</v>
      </c>
      <c r="I110" s="2" t="s">
        <v>1234</v>
      </c>
      <c r="J110" s="2" t="s">
        <v>1235</v>
      </c>
      <c r="L110" s="3" t="s">
        <v>1236</v>
      </c>
      <c r="M110" s="4" t="s">
        <v>1237</v>
      </c>
      <c r="Y110" s="4" t="s">
        <v>1237</v>
      </c>
      <c r="Z110" s="3" t="s">
        <v>1236</v>
      </c>
    </row>
    <row r="111" spans="3:26" x14ac:dyDescent="0.25">
      <c r="C111" s="2" t="s">
        <v>214</v>
      </c>
      <c r="D111" s="2" t="s">
        <v>30</v>
      </c>
      <c r="F111" s="2" t="s">
        <v>30</v>
      </c>
      <c r="G111" s="2" t="s">
        <v>214</v>
      </c>
      <c r="I111" s="2" t="s">
        <v>1238</v>
      </c>
      <c r="J111" s="2" t="s">
        <v>132</v>
      </c>
      <c r="L111" s="3" t="s">
        <v>1239</v>
      </c>
      <c r="M111" s="4" t="s">
        <v>1240</v>
      </c>
      <c r="Y111" s="4" t="s">
        <v>1240</v>
      </c>
      <c r="Z111" s="3" t="s">
        <v>1239</v>
      </c>
    </row>
    <row r="112" spans="3:26" x14ac:dyDescent="0.25">
      <c r="C112" s="2" t="s">
        <v>110</v>
      </c>
      <c r="D112" s="2" t="s">
        <v>1241</v>
      </c>
      <c r="F112" s="2" t="s">
        <v>1242</v>
      </c>
      <c r="G112" s="2" t="s">
        <v>1243</v>
      </c>
      <c r="I112" s="2" t="s">
        <v>1244</v>
      </c>
      <c r="J112" s="2" t="s">
        <v>1245</v>
      </c>
      <c r="L112" s="3" t="s">
        <v>1246</v>
      </c>
      <c r="M112" s="4" t="s">
        <v>1247</v>
      </c>
      <c r="Y112" s="4" t="s">
        <v>1247</v>
      </c>
      <c r="Z112" s="3" t="s">
        <v>1246</v>
      </c>
    </row>
    <row r="113" spans="3:26" x14ac:dyDescent="0.25">
      <c r="C113" s="2" t="s">
        <v>1243</v>
      </c>
      <c r="D113" s="2" t="s">
        <v>1242</v>
      </c>
      <c r="F113" s="2" t="s">
        <v>31</v>
      </c>
      <c r="G113" s="2" t="s">
        <v>398</v>
      </c>
      <c r="I113" s="2" t="s">
        <v>1248</v>
      </c>
      <c r="J113" s="2" t="s">
        <v>1249</v>
      </c>
      <c r="L113" s="3" t="s">
        <v>1250</v>
      </c>
      <c r="M113" s="4" t="s">
        <v>1251</v>
      </c>
      <c r="Y113" s="4" t="s">
        <v>1251</v>
      </c>
      <c r="Z113" s="3" t="s">
        <v>1250</v>
      </c>
    </row>
    <row r="114" spans="3:26" x14ac:dyDescent="0.25">
      <c r="C114" s="2" t="s">
        <v>1252</v>
      </c>
      <c r="D114" s="2" t="s">
        <v>1253</v>
      </c>
      <c r="F114" s="2" t="s">
        <v>1241</v>
      </c>
      <c r="G114" s="2" t="s">
        <v>110</v>
      </c>
      <c r="I114" s="2" t="s">
        <v>1254</v>
      </c>
      <c r="J114" s="2" t="s">
        <v>1255</v>
      </c>
      <c r="L114" s="3" t="s">
        <v>1256</v>
      </c>
      <c r="M114" s="4" t="s">
        <v>1257</v>
      </c>
      <c r="Y114" s="4" t="s">
        <v>1257</v>
      </c>
      <c r="Z114" s="3" t="s">
        <v>1256</v>
      </c>
    </row>
    <row r="115" spans="3:26" x14ac:dyDescent="0.25">
      <c r="C115" s="2" t="s">
        <v>398</v>
      </c>
      <c r="D115" s="2" t="s">
        <v>31</v>
      </c>
      <c r="F115" s="2" t="s">
        <v>1253</v>
      </c>
      <c r="G115" s="2" t="s">
        <v>1252</v>
      </c>
      <c r="I115" s="2" t="s">
        <v>1258</v>
      </c>
      <c r="J115" s="2" t="s">
        <v>1259</v>
      </c>
      <c r="L115" s="3" t="s">
        <v>1260</v>
      </c>
      <c r="M115" s="4" t="s">
        <v>1261</v>
      </c>
      <c r="Y115" s="4" t="s">
        <v>1261</v>
      </c>
      <c r="Z115" s="3" t="s">
        <v>1260</v>
      </c>
    </row>
    <row r="116" spans="3:26" x14ac:dyDescent="0.25">
      <c r="C116" s="2" t="s">
        <v>1262</v>
      </c>
      <c r="D116" s="2" t="s">
        <v>1263</v>
      </c>
      <c r="F116" s="2" t="s">
        <v>1264</v>
      </c>
      <c r="G116" s="2" t="s">
        <v>1265</v>
      </c>
      <c r="I116" s="2" t="s">
        <v>1266</v>
      </c>
      <c r="J116" s="2" t="s">
        <v>1267</v>
      </c>
      <c r="L116" s="3" t="s">
        <v>1268</v>
      </c>
      <c r="M116" s="4" t="s">
        <v>1269</v>
      </c>
      <c r="Y116" s="4" t="s">
        <v>1269</v>
      </c>
      <c r="Z116" s="3" t="s">
        <v>1268</v>
      </c>
    </row>
    <row r="117" spans="3:26" x14ac:dyDescent="0.25">
      <c r="C117" s="2" t="s">
        <v>1127</v>
      </c>
      <c r="D117" s="2" t="s">
        <v>1270</v>
      </c>
      <c r="F117" s="2" t="s">
        <v>1263</v>
      </c>
      <c r="G117" s="2" t="s">
        <v>1262</v>
      </c>
      <c r="I117" s="2" t="s">
        <v>1271</v>
      </c>
      <c r="J117" s="2" t="s">
        <v>1272</v>
      </c>
      <c r="L117" s="3" t="s">
        <v>1273</v>
      </c>
      <c r="M117" s="4" t="s">
        <v>1274</v>
      </c>
      <c r="Y117" s="4" t="s">
        <v>1274</v>
      </c>
      <c r="Z117" s="3" t="s">
        <v>1273</v>
      </c>
    </row>
    <row r="118" spans="3:26" x14ac:dyDescent="0.25">
      <c r="C118" s="2" t="s">
        <v>868</v>
      </c>
      <c r="D118" s="2" t="s">
        <v>867</v>
      </c>
      <c r="F118" s="2" t="s">
        <v>1275</v>
      </c>
      <c r="G118" s="2" t="s">
        <v>1106</v>
      </c>
      <c r="I118" s="2" t="s">
        <v>1276</v>
      </c>
      <c r="J118" s="2" t="s">
        <v>360</v>
      </c>
      <c r="L118" s="3" t="s">
        <v>1277</v>
      </c>
      <c r="M118" s="4" t="s">
        <v>1278</v>
      </c>
      <c r="Y118" s="4" t="s">
        <v>1278</v>
      </c>
      <c r="Z118" s="3" t="s">
        <v>1277</v>
      </c>
    </row>
    <row r="119" spans="3:26" x14ac:dyDescent="0.25">
      <c r="C119" s="2" t="s">
        <v>1106</v>
      </c>
      <c r="D119" s="2" t="s">
        <v>1275</v>
      </c>
      <c r="F119" s="2" t="s">
        <v>1279</v>
      </c>
      <c r="G119" s="2" t="s">
        <v>1280</v>
      </c>
      <c r="I119" s="2" t="s">
        <v>1281</v>
      </c>
      <c r="J119" s="2" t="s">
        <v>1282</v>
      </c>
      <c r="L119" s="3" t="s">
        <v>1283</v>
      </c>
      <c r="M119" s="4" t="s">
        <v>1284</v>
      </c>
      <c r="Y119" s="4" t="s">
        <v>1284</v>
      </c>
      <c r="Z119" s="3" t="s">
        <v>1283</v>
      </c>
    </row>
    <row r="120" spans="3:26" x14ac:dyDescent="0.25">
      <c r="C120" s="2" t="s">
        <v>926</v>
      </c>
      <c r="D120" s="2" t="s">
        <v>925</v>
      </c>
      <c r="F120" s="2" t="s">
        <v>1285</v>
      </c>
      <c r="G120" s="2" t="s">
        <v>1085</v>
      </c>
      <c r="I120" s="2" t="s">
        <v>1286</v>
      </c>
      <c r="J120" s="2" t="s">
        <v>1287</v>
      </c>
      <c r="L120" s="3" t="s">
        <v>1288</v>
      </c>
      <c r="M120" s="4" t="s">
        <v>1289</v>
      </c>
      <c r="Y120" s="4" t="s">
        <v>1289</v>
      </c>
      <c r="Z120" s="3" t="s">
        <v>1288</v>
      </c>
    </row>
    <row r="121" spans="3:26" x14ac:dyDescent="0.25">
      <c r="C121" s="2" t="s">
        <v>1077</v>
      </c>
      <c r="D121" s="2" t="s">
        <v>1290</v>
      </c>
      <c r="F121" s="2" t="s">
        <v>1291</v>
      </c>
      <c r="G121" s="2" t="s">
        <v>1292</v>
      </c>
      <c r="I121" s="2" t="s">
        <v>1293</v>
      </c>
      <c r="J121" s="2" t="s">
        <v>1294</v>
      </c>
      <c r="L121" s="3" t="s">
        <v>1295</v>
      </c>
      <c r="M121" s="4" t="s">
        <v>1296</v>
      </c>
      <c r="Y121" s="4"/>
      <c r="Z121" s="3"/>
    </row>
    <row r="122" spans="3:26" x14ac:dyDescent="0.25">
      <c r="C122" s="2" t="s">
        <v>1280</v>
      </c>
      <c r="D122" s="2" t="s">
        <v>1279</v>
      </c>
      <c r="F122" s="2" t="s">
        <v>1297</v>
      </c>
      <c r="G122" s="2" t="s">
        <v>836</v>
      </c>
      <c r="I122" s="2" t="s">
        <v>1298</v>
      </c>
      <c r="J122" s="2" t="s">
        <v>1299</v>
      </c>
      <c r="L122" s="3" t="s">
        <v>1300</v>
      </c>
      <c r="M122" s="4" t="s">
        <v>1301</v>
      </c>
      <c r="Y122" s="4" t="s">
        <v>1296</v>
      </c>
      <c r="Z122" s="3" t="s">
        <v>1295</v>
      </c>
    </row>
    <row r="123" spans="3:26" x14ac:dyDescent="0.25">
      <c r="C123" s="2" t="s">
        <v>1085</v>
      </c>
      <c r="D123" s="2" t="s">
        <v>1285</v>
      </c>
      <c r="F123" s="2" t="s">
        <v>1270</v>
      </c>
      <c r="G123" s="2" t="s">
        <v>1127</v>
      </c>
      <c r="I123" s="2" t="s">
        <v>1302</v>
      </c>
      <c r="J123" s="2" t="s">
        <v>930</v>
      </c>
      <c r="L123" s="3" t="s">
        <v>1303</v>
      </c>
      <c r="M123" s="4" t="s">
        <v>1304</v>
      </c>
      <c r="Y123" s="4" t="s">
        <v>1301</v>
      </c>
      <c r="Z123" s="3" t="s">
        <v>1300</v>
      </c>
    </row>
    <row r="124" spans="3:26" x14ac:dyDescent="0.25">
      <c r="C124" s="2" t="s">
        <v>836</v>
      </c>
      <c r="D124" s="2" t="s">
        <v>1297</v>
      </c>
      <c r="F124" s="2" t="s">
        <v>1305</v>
      </c>
      <c r="G124" s="2" t="s">
        <v>1148</v>
      </c>
      <c r="I124" s="2" t="s">
        <v>1306</v>
      </c>
      <c r="J124" s="2" t="s">
        <v>1307</v>
      </c>
      <c r="L124" s="3" t="s">
        <v>1308</v>
      </c>
      <c r="M124" s="4" t="s">
        <v>1309</v>
      </c>
      <c r="Y124" s="4" t="s">
        <v>1304</v>
      </c>
      <c r="Z124" s="3" t="s">
        <v>1303</v>
      </c>
    </row>
    <row r="125" spans="3:26" x14ac:dyDescent="0.25">
      <c r="C125" s="2" t="s">
        <v>322</v>
      </c>
      <c r="D125" s="2" t="s">
        <v>885</v>
      </c>
      <c r="F125" s="2" t="s">
        <v>1310</v>
      </c>
      <c r="G125" s="2" t="s">
        <v>1190</v>
      </c>
      <c r="I125" s="2" t="s">
        <v>1311</v>
      </c>
      <c r="J125" s="2" t="s">
        <v>1312</v>
      </c>
      <c r="L125" s="3" t="s">
        <v>1313</v>
      </c>
      <c r="M125" s="4" t="s">
        <v>1314</v>
      </c>
      <c r="Y125" s="4" t="s">
        <v>1309</v>
      </c>
      <c r="Z125" s="3" t="s">
        <v>1308</v>
      </c>
    </row>
    <row r="126" spans="3:26" x14ac:dyDescent="0.25">
      <c r="C126" s="2" t="s">
        <v>1265</v>
      </c>
      <c r="D126" s="2" t="s">
        <v>1264</v>
      </c>
      <c r="F126" s="2" t="s">
        <v>1315</v>
      </c>
      <c r="G126" s="2" t="s">
        <v>1152</v>
      </c>
      <c r="I126" s="2" t="s">
        <v>1316</v>
      </c>
      <c r="J126" s="2" t="s">
        <v>1317</v>
      </c>
      <c r="L126" s="3" t="s">
        <v>1318</v>
      </c>
      <c r="M126" s="4" t="s">
        <v>1319</v>
      </c>
      <c r="Y126" s="4" t="s">
        <v>1314</v>
      </c>
      <c r="Z126" s="3" t="s">
        <v>1313</v>
      </c>
    </row>
    <row r="127" spans="3:26" x14ac:dyDescent="0.25">
      <c r="C127" s="2" t="s">
        <v>1148</v>
      </c>
      <c r="D127" s="2" t="s">
        <v>1305</v>
      </c>
      <c r="F127" s="2" t="s">
        <v>33</v>
      </c>
      <c r="G127" s="2" t="s">
        <v>517</v>
      </c>
      <c r="I127" s="2" t="s">
        <v>1320</v>
      </c>
      <c r="J127" s="2" t="s">
        <v>1321</v>
      </c>
      <c r="L127" s="3" t="s">
        <v>1322</v>
      </c>
      <c r="M127" s="4" t="s">
        <v>1323</v>
      </c>
      <c r="Y127" s="4" t="s">
        <v>1319</v>
      </c>
      <c r="Z127" s="3" t="s">
        <v>1318</v>
      </c>
    </row>
    <row r="128" spans="3:26" x14ac:dyDescent="0.25">
      <c r="C128" s="2" t="s">
        <v>1152</v>
      </c>
      <c r="D128" s="2" t="s">
        <v>1315</v>
      </c>
      <c r="F128" s="2" t="s">
        <v>32</v>
      </c>
      <c r="G128" s="2" t="s">
        <v>170</v>
      </c>
      <c r="I128" s="2" t="s">
        <v>1324</v>
      </c>
      <c r="J128" s="2" t="s">
        <v>1325</v>
      </c>
      <c r="L128" s="3" t="s">
        <v>1326</v>
      </c>
      <c r="M128" s="4" t="s">
        <v>1327</v>
      </c>
      <c r="Y128" s="4" t="s">
        <v>1323</v>
      </c>
      <c r="Z128" s="3" t="s">
        <v>1322</v>
      </c>
    </row>
    <row r="129" spans="3:26" x14ac:dyDescent="0.25">
      <c r="C129" s="2" t="s">
        <v>1328</v>
      </c>
      <c r="D129" s="2" t="s">
        <v>1329</v>
      </c>
      <c r="F129" s="2" t="s">
        <v>1330</v>
      </c>
      <c r="G129" s="2" t="s">
        <v>1331</v>
      </c>
      <c r="I129" s="2" t="s">
        <v>1332</v>
      </c>
      <c r="J129" s="2" t="s">
        <v>1333</v>
      </c>
      <c r="L129" s="3" t="s">
        <v>1334</v>
      </c>
      <c r="M129" s="4" t="s">
        <v>1335</v>
      </c>
      <c r="Y129" s="4" t="s">
        <v>1327</v>
      </c>
      <c r="Z129" s="3" t="s">
        <v>1326</v>
      </c>
    </row>
    <row r="130" spans="3:26" x14ac:dyDescent="0.25">
      <c r="C130" s="2" t="s">
        <v>1164</v>
      </c>
      <c r="D130" s="2" t="s">
        <v>1336</v>
      </c>
      <c r="F130" s="2" t="s">
        <v>1336</v>
      </c>
      <c r="G130" s="2" t="s">
        <v>1164</v>
      </c>
      <c r="I130" s="2" t="s">
        <v>1337</v>
      </c>
      <c r="J130" s="2" t="s">
        <v>1338</v>
      </c>
      <c r="L130" s="3" t="s">
        <v>1339</v>
      </c>
      <c r="M130" s="4" t="s">
        <v>1340</v>
      </c>
      <c r="Y130" s="4" t="s">
        <v>1335</v>
      </c>
      <c r="Z130" s="3" t="s">
        <v>1334</v>
      </c>
    </row>
    <row r="131" spans="3:26" x14ac:dyDescent="0.25">
      <c r="C131" s="2" t="s">
        <v>1341</v>
      </c>
      <c r="D131" s="2" t="s">
        <v>1342</v>
      </c>
      <c r="F131" s="2" t="s">
        <v>1343</v>
      </c>
      <c r="G131" s="2" t="s">
        <v>1181</v>
      </c>
      <c r="I131" s="2" t="s">
        <v>1344</v>
      </c>
      <c r="J131" s="2" t="s">
        <v>1345</v>
      </c>
      <c r="L131" s="3" t="s">
        <v>1346</v>
      </c>
      <c r="M131" s="4" t="s">
        <v>1347</v>
      </c>
      <c r="Y131" s="4" t="s">
        <v>1340</v>
      </c>
      <c r="Z131" s="3" t="s">
        <v>1339</v>
      </c>
    </row>
    <row r="132" spans="3:26" x14ac:dyDescent="0.25">
      <c r="C132" s="2" t="s">
        <v>170</v>
      </c>
      <c r="D132" s="2" t="s">
        <v>32</v>
      </c>
      <c r="F132" s="2" t="s">
        <v>34</v>
      </c>
      <c r="G132" s="2" t="s">
        <v>441</v>
      </c>
      <c r="I132" s="2" t="s">
        <v>1348</v>
      </c>
      <c r="J132" s="2" t="s">
        <v>1349</v>
      </c>
      <c r="L132" s="3" t="s">
        <v>1350</v>
      </c>
      <c r="M132" s="4" t="s">
        <v>1351</v>
      </c>
      <c r="Y132" s="4" t="s">
        <v>1347</v>
      </c>
      <c r="Z132" s="3" t="s">
        <v>1346</v>
      </c>
    </row>
    <row r="133" spans="3:26" x14ac:dyDescent="0.25">
      <c r="C133" s="2" t="s">
        <v>517</v>
      </c>
      <c r="D133" s="2" t="s">
        <v>33</v>
      </c>
      <c r="F133" s="2" t="s">
        <v>35</v>
      </c>
      <c r="G133" s="2" t="s">
        <v>530</v>
      </c>
      <c r="I133" s="2" t="s">
        <v>1352</v>
      </c>
      <c r="J133" s="2" t="s">
        <v>1353</v>
      </c>
      <c r="L133" s="3" t="s">
        <v>1354</v>
      </c>
      <c r="M133" s="4" t="s">
        <v>1355</v>
      </c>
      <c r="Y133" s="4" t="s">
        <v>1351</v>
      </c>
      <c r="Z133" s="3" t="s">
        <v>1350</v>
      </c>
    </row>
    <row r="134" spans="3:26" x14ac:dyDescent="0.25">
      <c r="C134" s="2" t="s">
        <v>1181</v>
      </c>
      <c r="D134" s="2" t="s">
        <v>1343</v>
      </c>
      <c r="F134" s="2" t="s">
        <v>1356</v>
      </c>
      <c r="G134" s="2" t="s">
        <v>1199</v>
      </c>
      <c r="I134" s="2" t="s">
        <v>1357</v>
      </c>
      <c r="J134" s="2" t="s">
        <v>1358</v>
      </c>
      <c r="L134" s="3" t="s">
        <v>1359</v>
      </c>
      <c r="M134" s="4" t="s">
        <v>1360</v>
      </c>
      <c r="Y134" s="4" t="s">
        <v>1355</v>
      </c>
      <c r="Z134" s="3" t="s">
        <v>1354</v>
      </c>
    </row>
    <row r="135" spans="3:26" x14ac:dyDescent="0.25">
      <c r="C135" s="2" t="s">
        <v>441</v>
      </c>
      <c r="D135" s="2" t="s">
        <v>34</v>
      </c>
      <c r="F135" s="2" t="s">
        <v>1361</v>
      </c>
      <c r="G135" s="2" t="s">
        <v>1204</v>
      </c>
      <c r="I135" s="2" t="s">
        <v>1362</v>
      </c>
      <c r="J135" s="2" t="s">
        <v>1363</v>
      </c>
      <c r="L135" s="3" t="s">
        <v>1364</v>
      </c>
      <c r="M135" s="4" t="s">
        <v>1365</v>
      </c>
      <c r="Y135" s="4" t="s">
        <v>1360</v>
      </c>
      <c r="Z135" s="3" t="s">
        <v>1359</v>
      </c>
    </row>
    <row r="136" spans="3:26" x14ac:dyDescent="0.25">
      <c r="C136" s="2" t="s">
        <v>1190</v>
      </c>
      <c r="D136" s="2" t="s">
        <v>1310</v>
      </c>
      <c r="F136" s="2" t="s">
        <v>1366</v>
      </c>
      <c r="G136" s="2" t="s">
        <v>1367</v>
      </c>
      <c r="I136" s="2" t="s">
        <v>1368</v>
      </c>
      <c r="J136" s="2" t="s">
        <v>1369</v>
      </c>
      <c r="L136" s="3" t="s">
        <v>1370</v>
      </c>
      <c r="M136" s="4" t="s">
        <v>1371</v>
      </c>
      <c r="Y136" s="4" t="s">
        <v>1365</v>
      </c>
      <c r="Z136" s="3" t="s">
        <v>1364</v>
      </c>
    </row>
    <row r="137" spans="3:26" x14ac:dyDescent="0.25">
      <c r="C137" s="2" t="s">
        <v>1331</v>
      </c>
      <c r="D137" s="2" t="s">
        <v>1330</v>
      </c>
      <c r="F137" s="2" t="s">
        <v>1372</v>
      </c>
      <c r="G137" s="2" t="s">
        <v>795</v>
      </c>
      <c r="I137" s="2" t="s">
        <v>1373</v>
      </c>
      <c r="J137" s="2" t="s">
        <v>1374</v>
      </c>
      <c r="L137" s="3" t="s">
        <v>1375</v>
      </c>
      <c r="M137" s="4" t="s">
        <v>1376</v>
      </c>
      <c r="Y137" s="4" t="s">
        <v>1371</v>
      </c>
      <c r="Z137" s="3" t="s">
        <v>1370</v>
      </c>
    </row>
    <row r="138" spans="3:26" x14ac:dyDescent="0.25">
      <c r="C138" s="2" t="s">
        <v>1377</v>
      </c>
      <c r="D138" s="2" t="s">
        <v>1378</v>
      </c>
      <c r="F138" s="2" t="s">
        <v>1379</v>
      </c>
      <c r="G138" s="2" t="s">
        <v>1380</v>
      </c>
      <c r="I138" s="2" t="s">
        <v>1381</v>
      </c>
      <c r="J138" s="2" t="s">
        <v>1382</v>
      </c>
      <c r="L138" s="3" t="s">
        <v>1383</v>
      </c>
      <c r="M138" s="4" t="s">
        <v>1384</v>
      </c>
      <c r="Y138" s="4" t="s">
        <v>1376</v>
      </c>
      <c r="Z138" s="3" t="s">
        <v>1375</v>
      </c>
    </row>
    <row r="139" spans="3:26" x14ac:dyDescent="0.25">
      <c r="C139" s="2" t="s">
        <v>1385</v>
      </c>
      <c r="D139" s="2" t="s">
        <v>1386</v>
      </c>
      <c r="F139" s="2" t="s">
        <v>1387</v>
      </c>
      <c r="G139" s="2" t="s">
        <v>1212</v>
      </c>
      <c r="I139" s="2" t="s">
        <v>1388</v>
      </c>
      <c r="J139" s="2" t="s">
        <v>1389</v>
      </c>
      <c r="L139" s="3" t="s">
        <v>1390</v>
      </c>
      <c r="M139" s="4" t="s">
        <v>1391</v>
      </c>
      <c r="Y139" s="4" t="s">
        <v>1384</v>
      </c>
      <c r="Z139" s="3" t="s">
        <v>1383</v>
      </c>
    </row>
    <row r="140" spans="3:26" x14ac:dyDescent="0.25">
      <c r="C140" s="2" t="s">
        <v>1392</v>
      </c>
      <c r="D140" s="2" t="s">
        <v>1393</v>
      </c>
      <c r="F140" s="2" t="s">
        <v>1394</v>
      </c>
      <c r="G140" s="2" t="s">
        <v>403</v>
      </c>
      <c r="I140" s="2" t="s">
        <v>1395</v>
      </c>
      <c r="J140" s="2" t="s">
        <v>1396</v>
      </c>
      <c r="L140" s="3" t="s">
        <v>1397</v>
      </c>
      <c r="M140" s="4" t="s">
        <v>1398</v>
      </c>
      <c r="Y140" s="4" t="s">
        <v>1391</v>
      </c>
      <c r="Z140" s="3" t="s">
        <v>1390</v>
      </c>
    </row>
    <row r="141" spans="3:26" x14ac:dyDescent="0.25">
      <c r="C141" s="2" t="s">
        <v>1399</v>
      </c>
      <c r="D141" s="2" t="s">
        <v>1400</v>
      </c>
      <c r="F141" s="2" t="s">
        <v>1401</v>
      </c>
      <c r="G141" s="2" t="s">
        <v>1231</v>
      </c>
      <c r="I141" s="2" t="s">
        <v>1402</v>
      </c>
      <c r="J141" s="2" t="s">
        <v>389</v>
      </c>
      <c r="L141" s="3" t="s">
        <v>1403</v>
      </c>
      <c r="M141" s="4" t="s">
        <v>1404</v>
      </c>
      <c r="Y141" s="4" t="s">
        <v>1398</v>
      </c>
      <c r="Z141" s="3" t="s">
        <v>1397</v>
      </c>
    </row>
    <row r="142" spans="3:26" x14ac:dyDescent="0.25">
      <c r="C142" s="2" t="s">
        <v>1405</v>
      </c>
      <c r="D142" s="2" t="s">
        <v>1406</v>
      </c>
      <c r="F142" s="2" t="s">
        <v>1407</v>
      </c>
      <c r="G142" s="2" t="s">
        <v>1408</v>
      </c>
      <c r="I142" s="2" t="s">
        <v>1409</v>
      </c>
      <c r="J142" s="2" t="s">
        <v>1410</v>
      </c>
      <c r="L142" s="3" t="s">
        <v>1411</v>
      </c>
      <c r="M142" s="4" t="s">
        <v>1412</v>
      </c>
      <c r="Y142" s="4" t="s">
        <v>1404</v>
      </c>
      <c r="Z142" s="3" t="s">
        <v>1403</v>
      </c>
    </row>
    <row r="143" spans="3:26" x14ac:dyDescent="0.25">
      <c r="C143" s="2" t="s">
        <v>1204</v>
      </c>
      <c r="D143" s="2" t="s">
        <v>1361</v>
      </c>
      <c r="F143" s="2" t="s">
        <v>1413</v>
      </c>
      <c r="G143" s="2" t="s">
        <v>1227</v>
      </c>
      <c r="I143" s="2" t="s">
        <v>1414</v>
      </c>
      <c r="J143" s="2" t="s">
        <v>184</v>
      </c>
      <c r="L143" s="3" t="s">
        <v>1415</v>
      </c>
      <c r="M143" s="4" t="s">
        <v>1416</v>
      </c>
      <c r="Y143" s="4" t="s">
        <v>1412</v>
      </c>
      <c r="Z143" s="3" t="s">
        <v>1411</v>
      </c>
    </row>
    <row r="144" spans="3:26" ht="30" x14ac:dyDescent="0.25">
      <c r="C144" s="2" t="s">
        <v>1231</v>
      </c>
      <c r="D144" s="2" t="s">
        <v>1401</v>
      </c>
      <c r="F144" s="2" t="s">
        <v>1417</v>
      </c>
      <c r="G144" s="2" t="s">
        <v>209</v>
      </c>
      <c r="I144" s="2" t="s">
        <v>1418</v>
      </c>
      <c r="J144" s="2" t="s">
        <v>1419</v>
      </c>
      <c r="L144" s="3" t="s">
        <v>1420</v>
      </c>
      <c r="M144" s="4" t="s">
        <v>1421</v>
      </c>
      <c r="Y144" s="4" t="s">
        <v>1416</v>
      </c>
      <c r="Z144" s="3" t="s">
        <v>1415</v>
      </c>
    </row>
    <row r="145" spans="3:26" x14ac:dyDescent="0.25">
      <c r="C145" s="2" t="s">
        <v>1199</v>
      </c>
      <c r="D145" s="2" t="s">
        <v>1356</v>
      </c>
      <c r="F145" s="2" t="s">
        <v>1422</v>
      </c>
      <c r="G145" s="2" t="s">
        <v>1423</v>
      </c>
      <c r="I145" s="2" t="s">
        <v>1424</v>
      </c>
      <c r="J145" s="2" t="s">
        <v>1072</v>
      </c>
      <c r="L145" s="3" t="s">
        <v>1425</v>
      </c>
      <c r="M145" s="4" t="s">
        <v>1426</v>
      </c>
      <c r="Y145" s="4" t="s">
        <v>1421</v>
      </c>
      <c r="Z145" s="3" t="s">
        <v>1420</v>
      </c>
    </row>
    <row r="146" spans="3:26" x14ac:dyDescent="0.25">
      <c r="C146" s="2" t="s">
        <v>1212</v>
      </c>
      <c r="D146" s="2" t="s">
        <v>1387</v>
      </c>
      <c r="F146" s="2" t="s">
        <v>36</v>
      </c>
      <c r="G146" s="2" t="s">
        <v>225</v>
      </c>
      <c r="I146" s="2" t="s">
        <v>1427</v>
      </c>
      <c r="J146" s="2" t="s">
        <v>1428</v>
      </c>
      <c r="L146" s="3" t="s">
        <v>1429</v>
      </c>
      <c r="M146" s="4" t="s">
        <v>1430</v>
      </c>
      <c r="Y146" s="4" t="s">
        <v>1426</v>
      </c>
      <c r="Z146" s="3" t="s">
        <v>1425</v>
      </c>
    </row>
    <row r="147" spans="3:26" x14ac:dyDescent="0.25">
      <c r="C147" s="2" t="s">
        <v>1431</v>
      </c>
      <c r="D147" s="2" t="s">
        <v>1432</v>
      </c>
      <c r="F147" s="2" t="s">
        <v>1048</v>
      </c>
      <c r="G147" s="2" t="s">
        <v>1047</v>
      </c>
      <c r="I147" s="2" t="s">
        <v>1433</v>
      </c>
      <c r="J147" s="2" t="s">
        <v>1434</v>
      </c>
      <c r="L147" s="3" t="s">
        <v>1435</v>
      </c>
      <c r="M147" s="4" t="s">
        <v>1436</v>
      </c>
      <c r="Y147" s="4" t="s">
        <v>1430</v>
      </c>
      <c r="Z147" s="3" t="s">
        <v>1429</v>
      </c>
    </row>
    <row r="148" spans="3:26" ht="30" x14ac:dyDescent="0.25">
      <c r="C148" s="2" t="s">
        <v>1235</v>
      </c>
      <c r="D148" s="2" t="s">
        <v>1437</v>
      </c>
      <c r="F148" s="2" t="s">
        <v>1393</v>
      </c>
      <c r="G148" s="2" t="s">
        <v>1392</v>
      </c>
      <c r="I148" s="2" t="s">
        <v>1438</v>
      </c>
      <c r="J148" s="2" t="s">
        <v>1439</v>
      </c>
      <c r="L148" s="3" t="s">
        <v>1440</v>
      </c>
      <c r="M148" s="4" t="s">
        <v>1441</v>
      </c>
      <c r="Y148" s="4" t="s">
        <v>1436</v>
      </c>
      <c r="Z148" s="3" t="s">
        <v>1435</v>
      </c>
    </row>
    <row r="149" spans="3:26" x14ac:dyDescent="0.25">
      <c r="C149" s="2" t="s">
        <v>530</v>
      </c>
      <c r="D149" s="2" t="s">
        <v>35</v>
      </c>
      <c r="F149" s="2" t="s">
        <v>1386</v>
      </c>
      <c r="G149" s="2" t="s">
        <v>1385</v>
      </c>
      <c r="I149" s="2" t="s">
        <v>1442</v>
      </c>
      <c r="J149" s="2" t="s">
        <v>1443</v>
      </c>
      <c r="L149" s="3" t="s">
        <v>1444</v>
      </c>
      <c r="M149" s="4" t="s">
        <v>1445</v>
      </c>
      <c r="Y149" s="4" t="s">
        <v>1441</v>
      </c>
      <c r="Z149" s="3" t="s">
        <v>1440</v>
      </c>
    </row>
    <row r="150" spans="3:26" x14ac:dyDescent="0.25">
      <c r="C150" s="2" t="s">
        <v>1446</v>
      </c>
      <c r="D150" s="2" t="s">
        <v>1447</v>
      </c>
      <c r="F150" s="2" t="s">
        <v>1437</v>
      </c>
      <c r="G150" s="2" t="s">
        <v>1235</v>
      </c>
      <c r="I150" s="2" t="s">
        <v>1448</v>
      </c>
      <c r="J150" s="2" t="s">
        <v>1449</v>
      </c>
      <c r="L150" s="3" t="s">
        <v>1450</v>
      </c>
      <c r="M150" s="4" t="s">
        <v>1451</v>
      </c>
      <c r="Y150" s="4" t="s">
        <v>1445</v>
      </c>
      <c r="Z150" s="3" t="s">
        <v>1444</v>
      </c>
    </row>
    <row r="151" spans="3:26" x14ac:dyDescent="0.25">
      <c r="C151" s="2" t="s">
        <v>1408</v>
      </c>
      <c r="D151" s="2" t="s">
        <v>1407</v>
      </c>
      <c r="F151" s="2" t="s">
        <v>1400</v>
      </c>
      <c r="G151" s="2" t="s">
        <v>1399</v>
      </c>
      <c r="I151" s="2" t="s">
        <v>1452</v>
      </c>
      <c r="J151" s="2" t="s">
        <v>1453</v>
      </c>
      <c r="L151" s="3" t="s">
        <v>1454</v>
      </c>
      <c r="M151" s="4" t="s">
        <v>1455</v>
      </c>
      <c r="Y151" s="4" t="s">
        <v>1451</v>
      </c>
      <c r="Z151" s="3" t="s">
        <v>1450</v>
      </c>
    </row>
    <row r="152" spans="3:26" x14ac:dyDescent="0.25">
      <c r="C152" s="2" t="s">
        <v>1227</v>
      </c>
      <c r="D152" s="2" t="s">
        <v>1413</v>
      </c>
      <c r="F152" s="2" t="s">
        <v>1456</v>
      </c>
      <c r="G152" s="2" t="s">
        <v>1208</v>
      </c>
      <c r="I152" s="2" t="s">
        <v>1457</v>
      </c>
      <c r="J152" s="2" t="s">
        <v>1020</v>
      </c>
      <c r="L152" s="3" t="s">
        <v>1458</v>
      </c>
      <c r="M152" s="4" t="s">
        <v>1</v>
      </c>
      <c r="Y152" s="4" t="s">
        <v>1455</v>
      </c>
      <c r="Z152" s="3" t="s">
        <v>1454</v>
      </c>
    </row>
    <row r="153" spans="3:26" x14ac:dyDescent="0.25">
      <c r="C153" s="2" t="s">
        <v>1208</v>
      </c>
      <c r="D153" s="2" t="s">
        <v>1456</v>
      </c>
      <c r="F153" s="2" t="s">
        <v>1378</v>
      </c>
      <c r="G153" s="2" t="s">
        <v>1377</v>
      </c>
      <c r="I153" s="2" t="s">
        <v>1459</v>
      </c>
      <c r="J153" s="2" t="s">
        <v>1460</v>
      </c>
      <c r="L153" s="3" t="s">
        <v>1461</v>
      </c>
      <c r="M153" s="4" t="s">
        <v>1462</v>
      </c>
      <c r="Y153" s="4" t="s">
        <v>1</v>
      </c>
      <c r="Z153" s="3" t="s">
        <v>1458</v>
      </c>
    </row>
    <row r="154" spans="3:26" x14ac:dyDescent="0.25">
      <c r="C154" s="2" t="s">
        <v>403</v>
      </c>
      <c r="D154" s="2" t="s">
        <v>1394</v>
      </c>
      <c r="F154" s="2" t="s">
        <v>37</v>
      </c>
      <c r="G154" s="2" t="s">
        <v>171</v>
      </c>
      <c r="I154" s="2" t="s">
        <v>1463</v>
      </c>
      <c r="J154" s="2" t="s">
        <v>1464</v>
      </c>
      <c r="L154" s="3" t="s">
        <v>1465</v>
      </c>
      <c r="M154" s="4" t="s">
        <v>1466</v>
      </c>
      <c r="Y154" s="4" t="s">
        <v>1462</v>
      </c>
      <c r="Z154" s="3" t="s">
        <v>1461</v>
      </c>
    </row>
    <row r="155" spans="3:26" x14ac:dyDescent="0.25">
      <c r="C155" s="2" t="s">
        <v>209</v>
      </c>
      <c r="D155" s="2" t="s">
        <v>1417</v>
      </c>
      <c r="F155" s="2" t="s">
        <v>1432</v>
      </c>
      <c r="G155" s="2" t="s">
        <v>1431</v>
      </c>
      <c r="I155" s="2" t="s">
        <v>1467</v>
      </c>
      <c r="J155" s="2" t="s">
        <v>1468</v>
      </c>
      <c r="L155" s="4" t="s">
        <v>1469</v>
      </c>
      <c r="M155" s="4" t="s">
        <v>1470</v>
      </c>
      <c r="Y155" s="4" t="s">
        <v>1466</v>
      </c>
      <c r="Z155" s="3" t="s">
        <v>1465</v>
      </c>
    </row>
    <row r="156" spans="3:26" x14ac:dyDescent="0.25">
      <c r="C156" s="2" t="s">
        <v>1380</v>
      </c>
      <c r="D156" s="2" t="s">
        <v>1379</v>
      </c>
      <c r="F156" s="2" t="s">
        <v>39</v>
      </c>
      <c r="G156" s="2" t="s">
        <v>132</v>
      </c>
      <c r="I156" s="2" t="s">
        <v>1471</v>
      </c>
      <c r="J156" s="2" t="s">
        <v>1016</v>
      </c>
      <c r="L156" s="3" t="s">
        <v>1472</v>
      </c>
      <c r="M156" s="4" t="s">
        <v>1473</v>
      </c>
      <c r="Y156" s="4" t="s">
        <v>1470</v>
      </c>
      <c r="Z156" s="4" t="s">
        <v>1469</v>
      </c>
    </row>
    <row r="157" spans="3:26" x14ac:dyDescent="0.25">
      <c r="C157" s="2" t="s">
        <v>1367</v>
      </c>
      <c r="D157" s="2" t="s">
        <v>1366</v>
      </c>
      <c r="F157" s="2" t="s">
        <v>1474</v>
      </c>
      <c r="G157" s="2" t="s">
        <v>1287</v>
      </c>
      <c r="I157" s="2" t="s">
        <v>1475</v>
      </c>
      <c r="J157" s="2" t="s">
        <v>1476</v>
      </c>
      <c r="L157" s="3" t="s">
        <v>1477</v>
      </c>
      <c r="M157" s="4" t="s">
        <v>1478</v>
      </c>
      <c r="Y157" s="4" t="s">
        <v>1473</v>
      </c>
      <c r="Z157" s="3" t="s">
        <v>1472</v>
      </c>
    </row>
    <row r="158" spans="3:26" x14ac:dyDescent="0.25">
      <c r="C158" s="2" t="s">
        <v>225</v>
      </c>
      <c r="D158" s="2" t="s">
        <v>36</v>
      </c>
      <c r="F158" s="2" t="s">
        <v>1479</v>
      </c>
      <c r="G158" s="2" t="s">
        <v>1480</v>
      </c>
      <c r="I158" s="2" t="s">
        <v>1481</v>
      </c>
      <c r="J158" s="2" t="s">
        <v>1482</v>
      </c>
      <c r="L158" s="3" t="s">
        <v>1483</v>
      </c>
      <c r="M158" s="4" t="s">
        <v>1484</v>
      </c>
      <c r="Y158" s="4" t="s">
        <v>1478</v>
      </c>
      <c r="Z158" s="3" t="s">
        <v>1477</v>
      </c>
    </row>
    <row r="159" spans="3:26" x14ac:dyDescent="0.25">
      <c r="C159" s="2" t="s">
        <v>795</v>
      </c>
      <c r="D159" s="2" t="s">
        <v>1372</v>
      </c>
      <c r="F159" s="2" t="s">
        <v>38</v>
      </c>
      <c r="G159" s="2" t="s">
        <v>112</v>
      </c>
      <c r="I159" s="2" t="s">
        <v>1485</v>
      </c>
      <c r="J159" s="2" t="s">
        <v>1486</v>
      </c>
      <c r="L159" s="3" t="s">
        <v>1487</v>
      </c>
      <c r="M159" s="4" t="s">
        <v>1488</v>
      </c>
      <c r="Y159" s="4" t="s">
        <v>1484</v>
      </c>
      <c r="Z159" s="3" t="s">
        <v>1483</v>
      </c>
    </row>
    <row r="160" spans="3:26" x14ac:dyDescent="0.25">
      <c r="C160" s="2" t="s">
        <v>171</v>
      </c>
      <c r="D160" s="2" t="s">
        <v>37</v>
      </c>
      <c r="F160" s="2" t="s">
        <v>1489</v>
      </c>
      <c r="G160" s="2" t="s">
        <v>1490</v>
      </c>
      <c r="I160" s="2" t="s">
        <v>1491</v>
      </c>
      <c r="J160" s="2" t="s">
        <v>1492</v>
      </c>
      <c r="L160" s="3" t="s">
        <v>1493</v>
      </c>
      <c r="M160" s="4" t="s">
        <v>1494</v>
      </c>
      <c r="Y160" s="4" t="s">
        <v>1488</v>
      </c>
      <c r="Z160" s="3" t="s">
        <v>1487</v>
      </c>
    </row>
    <row r="161" spans="3:26" x14ac:dyDescent="0.25">
      <c r="C161" s="2" t="s">
        <v>132</v>
      </c>
      <c r="D161" s="2" t="s">
        <v>39</v>
      </c>
      <c r="F161" s="2" t="s">
        <v>1495</v>
      </c>
      <c r="G161" s="2" t="s">
        <v>1496</v>
      </c>
      <c r="I161" s="2" t="s">
        <v>1497</v>
      </c>
      <c r="J161" s="2" t="s">
        <v>1498</v>
      </c>
      <c r="L161" s="3" t="s">
        <v>1499</v>
      </c>
      <c r="M161" s="4" t="s">
        <v>1500</v>
      </c>
      <c r="Y161" s="4" t="s">
        <v>1494</v>
      </c>
      <c r="Z161" s="3" t="s">
        <v>1493</v>
      </c>
    </row>
    <row r="162" spans="3:26" x14ac:dyDescent="0.25">
      <c r="C162" s="2" t="s">
        <v>1490</v>
      </c>
      <c r="D162" s="2" t="s">
        <v>1489</v>
      </c>
      <c r="F162" s="2" t="s">
        <v>1501</v>
      </c>
      <c r="G162" s="2" t="s">
        <v>1502</v>
      </c>
      <c r="I162" s="2" t="s">
        <v>1503</v>
      </c>
      <c r="J162" s="2" t="s">
        <v>810</v>
      </c>
      <c r="L162" s="3" t="s">
        <v>1504</v>
      </c>
      <c r="M162" s="4" t="s">
        <v>1505</v>
      </c>
      <c r="Y162" s="4" t="s">
        <v>1500</v>
      </c>
      <c r="Z162" s="3" t="s">
        <v>1499</v>
      </c>
    </row>
    <row r="163" spans="3:26" x14ac:dyDescent="0.25">
      <c r="C163" s="2" t="s">
        <v>1255</v>
      </c>
      <c r="D163" s="2" t="s">
        <v>1506</v>
      </c>
      <c r="F163" s="2" t="s">
        <v>1506</v>
      </c>
      <c r="G163" s="2" t="s">
        <v>1255</v>
      </c>
      <c r="I163" s="2" t="s">
        <v>1507</v>
      </c>
      <c r="J163" s="2" t="s">
        <v>1508</v>
      </c>
      <c r="L163" s="3" t="s">
        <v>1509</v>
      </c>
      <c r="M163" s="4" t="s">
        <v>1510</v>
      </c>
      <c r="Y163" s="4" t="s">
        <v>1505</v>
      </c>
      <c r="Z163" s="3" t="s">
        <v>1504</v>
      </c>
    </row>
    <row r="164" spans="3:26" x14ac:dyDescent="0.25">
      <c r="C164" s="2" t="s">
        <v>1511</v>
      </c>
      <c r="D164" s="2" t="s">
        <v>1512</v>
      </c>
      <c r="F164" s="2" t="s">
        <v>1513</v>
      </c>
      <c r="G164" s="2" t="s">
        <v>1259</v>
      </c>
      <c r="I164" s="2" t="s">
        <v>1514</v>
      </c>
      <c r="J164" s="2" t="s">
        <v>1515</v>
      </c>
      <c r="L164" s="2" t="s">
        <v>1516</v>
      </c>
      <c r="M164" s="2" t="s">
        <v>1517</v>
      </c>
      <c r="Y164" s="4" t="s">
        <v>1510</v>
      </c>
      <c r="Z164" s="3" t="s">
        <v>1509</v>
      </c>
    </row>
    <row r="165" spans="3:26" x14ac:dyDescent="0.25">
      <c r="C165" s="2" t="s">
        <v>1259</v>
      </c>
      <c r="D165" s="2" t="s">
        <v>1513</v>
      </c>
      <c r="F165" s="2" t="s">
        <v>1518</v>
      </c>
      <c r="G165" s="2" t="s">
        <v>1519</v>
      </c>
      <c r="I165" s="2" t="s">
        <v>1520</v>
      </c>
      <c r="J165" s="2" t="s">
        <v>1521</v>
      </c>
      <c r="L165" s="2" t="s">
        <v>1522</v>
      </c>
      <c r="M165" s="2" t="s">
        <v>1523</v>
      </c>
      <c r="Y165" s="2" t="s">
        <v>1517</v>
      </c>
      <c r="Z165" s="2" t="s">
        <v>1516</v>
      </c>
    </row>
    <row r="166" spans="3:26" x14ac:dyDescent="0.25">
      <c r="C166" s="2" t="s">
        <v>1502</v>
      </c>
      <c r="D166" s="2" t="s">
        <v>1501</v>
      </c>
      <c r="F166" s="2" t="s">
        <v>1512</v>
      </c>
      <c r="G166" s="2" t="s">
        <v>1511</v>
      </c>
      <c r="I166" s="2" t="s">
        <v>1524</v>
      </c>
      <c r="J166" s="2" t="s">
        <v>1525</v>
      </c>
      <c r="L166" s="2" t="s">
        <v>1526</v>
      </c>
      <c r="M166" s="2" t="s">
        <v>1527</v>
      </c>
      <c r="Y166" s="2" t="s">
        <v>1523</v>
      </c>
      <c r="Z166" s="2" t="s">
        <v>1522</v>
      </c>
    </row>
    <row r="167" spans="3:26" x14ac:dyDescent="0.25">
      <c r="C167" s="2" t="s">
        <v>112</v>
      </c>
      <c r="D167" s="2" t="s">
        <v>38</v>
      </c>
      <c r="F167" s="2" t="s">
        <v>1447</v>
      </c>
      <c r="G167" s="2" t="s">
        <v>1446</v>
      </c>
      <c r="I167" s="2" t="s">
        <v>1528</v>
      </c>
      <c r="J167" s="2" t="s">
        <v>1529</v>
      </c>
      <c r="L167" s="2" t="s">
        <v>1530</v>
      </c>
      <c r="M167" s="2" t="s">
        <v>1531</v>
      </c>
      <c r="Y167" s="2" t="s">
        <v>1527</v>
      </c>
      <c r="Z167" s="2" t="s">
        <v>1526</v>
      </c>
    </row>
    <row r="168" spans="3:26" x14ac:dyDescent="0.25">
      <c r="C168" s="2" t="s">
        <v>360</v>
      </c>
      <c r="D168" s="2" t="s">
        <v>40</v>
      </c>
      <c r="F168" s="2" t="s">
        <v>40</v>
      </c>
      <c r="G168" s="2" t="s">
        <v>360</v>
      </c>
      <c r="I168" s="2" t="s">
        <v>1532</v>
      </c>
      <c r="J168" s="2" t="s">
        <v>1533</v>
      </c>
      <c r="L168" s="2" t="s">
        <v>1534</v>
      </c>
      <c r="M168" s="2" t="s">
        <v>1535</v>
      </c>
      <c r="Y168" s="2" t="s">
        <v>1531</v>
      </c>
      <c r="Z168" s="2" t="s">
        <v>1530</v>
      </c>
    </row>
    <row r="169" spans="3:26" x14ac:dyDescent="0.25">
      <c r="C169" s="2" t="s">
        <v>1480</v>
      </c>
      <c r="D169" s="2" t="s">
        <v>1479</v>
      </c>
      <c r="F169" s="2" t="s">
        <v>1536</v>
      </c>
      <c r="G169" s="2" t="s">
        <v>1307</v>
      </c>
      <c r="I169" s="2" t="s">
        <v>1537</v>
      </c>
      <c r="J169" s="2" t="s">
        <v>1538</v>
      </c>
      <c r="L169" s="2" t="s">
        <v>1539</v>
      </c>
      <c r="M169" s="2" t="s">
        <v>1540</v>
      </c>
      <c r="Y169" s="2" t="s">
        <v>1535</v>
      </c>
      <c r="Z169" s="2" t="s">
        <v>1534</v>
      </c>
    </row>
    <row r="170" spans="3:26" x14ac:dyDescent="0.25">
      <c r="C170" s="2" t="s">
        <v>1287</v>
      </c>
      <c r="D170" s="2" t="s">
        <v>1474</v>
      </c>
      <c r="F170" s="2" t="s">
        <v>1541</v>
      </c>
      <c r="G170" s="2" t="s">
        <v>1542</v>
      </c>
      <c r="I170" s="2" t="s">
        <v>1543</v>
      </c>
      <c r="J170" s="2" t="s">
        <v>532</v>
      </c>
      <c r="L170" s="2" t="s">
        <v>1544</v>
      </c>
      <c r="M170" s="2" t="s">
        <v>1545</v>
      </c>
      <c r="Y170" s="2" t="s">
        <v>1540</v>
      </c>
      <c r="Z170" s="2" t="s">
        <v>1539</v>
      </c>
    </row>
    <row r="171" spans="3:26" x14ac:dyDescent="0.25">
      <c r="C171" s="2" t="s">
        <v>1519</v>
      </c>
      <c r="D171" s="2" t="s">
        <v>1518</v>
      </c>
      <c r="F171" s="2" t="s">
        <v>1546</v>
      </c>
      <c r="G171" s="2" t="s">
        <v>1547</v>
      </c>
      <c r="I171" s="2" t="s">
        <v>1548</v>
      </c>
      <c r="J171" s="2" t="s">
        <v>1549</v>
      </c>
      <c r="L171" s="2" t="s">
        <v>1550</v>
      </c>
      <c r="M171" s="2" t="s">
        <v>1551</v>
      </c>
      <c r="Y171" s="2" t="s">
        <v>1545</v>
      </c>
      <c r="Z171" s="2" t="s">
        <v>1544</v>
      </c>
    </row>
    <row r="172" spans="3:26" x14ac:dyDescent="0.25">
      <c r="C172" s="2" t="s">
        <v>1496</v>
      </c>
      <c r="D172" s="2" t="s">
        <v>1495</v>
      </c>
      <c r="F172" s="2" t="s">
        <v>1552</v>
      </c>
      <c r="G172" s="2" t="s">
        <v>1345</v>
      </c>
      <c r="I172" s="2" t="s">
        <v>1553</v>
      </c>
      <c r="J172" s="2" t="s">
        <v>1554</v>
      </c>
      <c r="L172" s="2" t="s">
        <v>1555</v>
      </c>
      <c r="M172" s="2" t="s">
        <v>1556</v>
      </c>
      <c r="Y172" s="2" t="s">
        <v>1551</v>
      </c>
      <c r="Z172" s="2" t="s">
        <v>1550</v>
      </c>
    </row>
    <row r="173" spans="3:26" x14ac:dyDescent="0.25">
      <c r="C173" s="2" t="s">
        <v>1307</v>
      </c>
      <c r="D173" s="2" t="s">
        <v>1536</v>
      </c>
      <c r="F173" s="2" t="s">
        <v>1557</v>
      </c>
      <c r="G173" s="2" t="s">
        <v>1321</v>
      </c>
      <c r="I173" s="2" t="s">
        <v>1558</v>
      </c>
      <c r="J173" s="2" t="s">
        <v>1559</v>
      </c>
      <c r="L173" s="2" t="s">
        <v>1560</v>
      </c>
      <c r="M173" s="2" t="s">
        <v>1561</v>
      </c>
      <c r="Y173" s="2" t="s">
        <v>1556</v>
      </c>
      <c r="Z173" s="2" t="s">
        <v>1555</v>
      </c>
    </row>
    <row r="174" spans="3:26" x14ac:dyDescent="0.25">
      <c r="C174" s="2" t="s">
        <v>1321</v>
      </c>
      <c r="D174" s="2" t="s">
        <v>1557</v>
      </c>
      <c r="F174" s="2" t="s">
        <v>41</v>
      </c>
      <c r="G174" s="2" t="s">
        <v>192</v>
      </c>
      <c r="I174" s="2" t="s">
        <v>1562</v>
      </c>
      <c r="J174" s="2" t="s">
        <v>1563</v>
      </c>
      <c r="L174" s="2" t="s">
        <v>1564</v>
      </c>
      <c r="M174" s="2" t="s">
        <v>1565</v>
      </c>
      <c r="Y174" s="2" t="s">
        <v>1561</v>
      </c>
      <c r="Z174" s="2" t="s">
        <v>1560</v>
      </c>
    </row>
    <row r="175" spans="3:26" x14ac:dyDescent="0.25">
      <c r="C175" s="2" t="s">
        <v>161</v>
      </c>
      <c r="D175" s="2" t="s">
        <v>42</v>
      </c>
      <c r="F175" s="2" t="s">
        <v>1566</v>
      </c>
      <c r="G175" s="2" t="s">
        <v>1567</v>
      </c>
      <c r="I175" s="2" t="s">
        <v>1568</v>
      </c>
      <c r="J175" s="2" t="s">
        <v>1569</v>
      </c>
      <c r="L175" s="2" t="s">
        <v>1570</v>
      </c>
      <c r="M175" s="2" t="s">
        <v>1571</v>
      </c>
      <c r="Y175" s="2" t="s">
        <v>1565</v>
      </c>
      <c r="Z175" s="2" t="s">
        <v>1564</v>
      </c>
    </row>
    <row r="176" spans="3:26" x14ac:dyDescent="0.25">
      <c r="C176" s="2" t="s">
        <v>1075</v>
      </c>
      <c r="D176" s="2" t="s">
        <v>1074</v>
      </c>
      <c r="F176" s="2" t="s">
        <v>42</v>
      </c>
      <c r="G176" s="2" t="s">
        <v>161</v>
      </c>
      <c r="I176" s="2" t="s">
        <v>1572</v>
      </c>
      <c r="J176" s="2" t="s">
        <v>255</v>
      </c>
      <c r="L176" s="2" t="s">
        <v>1573</v>
      </c>
      <c r="M176" s="2" t="s">
        <v>1574</v>
      </c>
      <c r="Y176" s="2" t="s">
        <v>1571</v>
      </c>
      <c r="Z176" s="2" t="s">
        <v>1570</v>
      </c>
    </row>
    <row r="177" spans="3:26" x14ac:dyDescent="0.25">
      <c r="C177" s="2" t="s">
        <v>192</v>
      </c>
      <c r="D177" s="2" t="s">
        <v>41</v>
      </c>
      <c r="F177" s="2" t="s">
        <v>43</v>
      </c>
      <c r="G177" s="2" t="s">
        <v>182</v>
      </c>
      <c r="I177" s="2" t="s">
        <v>1575</v>
      </c>
      <c r="J177" s="2" t="s">
        <v>1576</v>
      </c>
      <c r="L177" s="2" t="s">
        <v>1577</v>
      </c>
      <c r="M177" s="2" t="s">
        <v>1578</v>
      </c>
      <c r="Y177" s="2" t="s">
        <v>1574</v>
      </c>
      <c r="Z177" s="2" t="s">
        <v>1573</v>
      </c>
    </row>
    <row r="178" spans="3:26" x14ac:dyDescent="0.25">
      <c r="C178" s="2" t="s">
        <v>182</v>
      </c>
      <c r="D178" s="2" t="s">
        <v>43</v>
      </c>
      <c r="F178" s="2" t="s">
        <v>1579</v>
      </c>
      <c r="G178" s="2" t="s">
        <v>1580</v>
      </c>
      <c r="I178" s="2" t="s">
        <v>1581</v>
      </c>
      <c r="J178" s="2" t="s">
        <v>1582</v>
      </c>
      <c r="L178" s="2" t="s">
        <v>1583</v>
      </c>
      <c r="M178" s="2" t="s">
        <v>1584</v>
      </c>
      <c r="Y178" s="2" t="s">
        <v>1578</v>
      </c>
      <c r="Z178" s="2" t="s">
        <v>1577</v>
      </c>
    </row>
    <row r="179" spans="3:26" x14ac:dyDescent="0.25">
      <c r="C179" s="2" t="s">
        <v>1542</v>
      </c>
      <c r="D179" s="2" t="s">
        <v>1541</v>
      </c>
      <c r="F179" s="2" t="s">
        <v>1585</v>
      </c>
      <c r="G179" s="2" t="s">
        <v>1338</v>
      </c>
      <c r="I179" s="2" t="s">
        <v>1586</v>
      </c>
      <c r="J179" s="2" t="s">
        <v>345</v>
      </c>
      <c r="L179" s="2" t="s">
        <v>1587</v>
      </c>
      <c r="M179" s="2" t="s">
        <v>1588</v>
      </c>
      <c r="Y179" s="2" t="s">
        <v>1584</v>
      </c>
      <c r="Z179" s="2" t="s">
        <v>1583</v>
      </c>
    </row>
    <row r="180" spans="3:26" x14ac:dyDescent="0.25">
      <c r="C180" s="2" t="s">
        <v>1338</v>
      </c>
      <c r="D180" s="2" t="s">
        <v>1585</v>
      </c>
      <c r="F180" s="2" t="s">
        <v>1589</v>
      </c>
      <c r="G180" s="2" t="s">
        <v>1349</v>
      </c>
      <c r="I180" s="2" t="s">
        <v>1590</v>
      </c>
      <c r="J180" s="2" t="s">
        <v>147</v>
      </c>
      <c r="L180" s="2" t="s">
        <v>1591</v>
      </c>
      <c r="M180" s="2" t="s">
        <v>1592</v>
      </c>
      <c r="Y180" s="2" t="s">
        <v>1588</v>
      </c>
      <c r="Z180" s="2" t="s">
        <v>1587</v>
      </c>
    </row>
    <row r="181" spans="3:26" x14ac:dyDescent="0.25">
      <c r="C181" s="2" t="s">
        <v>1593</v>
      </c>
      <c r="D181" s="2" t="s">
        <v>1594</v>
      </c>
      <c r="F181" s="2" t="s">
        <v>1595</v>
      </c>
      <c r="G181" s="2" t="s">
        <v>1596</v>
      </c>
      <c r="I181" s="2" t="s">
        <v>1597</v>
      </c>
      <c r="J181" s="2" t="s">
        <v>1598</v>
      </c>
      <c r="L181" s="2" t="s">
        <v>1599</v>
      </c>
      <c r="M181" s="2" t="s">
        <v>1600</v>
      </c>
      <c r="Y181" s="2" t="s">
        <v>1592</v>
      </c>
      <c r="Z181" s="2" t="s">
        <v>1591</v>
      </c>
    </row>
    <row r="182" spans="3:26" x14ac:dyDescent="0.25">
      <c r="C182" s="2" t="s">
        <v>1580</v>
      </c>
      <c r="D182" s="2" t="s">
        <v>1579</v>
      </c>
      <c r="F182" s="2" t="s">
        <v>1601</v>
      </c>
      <c r="G182" s="2" t="s">
        <v>1602</v>
      </c>
      <c r="I182" s="2" t="s">
        <v>1603</v>
      </c>
      <c r="J182" s="2" t="s">
        <v>1604</v>
      </c>
      <c r="L182" s="2" t="s">
        <v>1605</v>
      </c>
      <c r="M182" s="2" t="s">
        <v>1606</v>
      </c>
      <c r="Y182" s="2" t="s">
        <v>1600</v>
      </c>
      <c r="Z182" s="2" t="s">
        <v>1599</v>
      </c>
    </row>
    <row r="183" spans="3:26" x14ac:dyDescent="0.25">
      <c r="C183" s="2" t="s">
        <v>1596</v>
      </c>
      <c r="D183" s="2" t="s">
        <v>1595</v>
      </c>
      <c r="F183" s="2" t="s">
        <v>1607</v>
      </c>
      <c r="G183" s="2" t="s">
        <v>1608</v>
      </c>
      <c r="I183" s="2" t="s">
        <v>1609</v>
      </c>
      <c r="J183" s="2" t="s">
        <v>1610</v>
      </c>
      <c r="Y183" s="2" t="s">
        <v>1606</v>
      </c>
      <c r="Z183" s="2" t="s">
        <v>1605</v>
      </c>
    </row>
    <row r="184" spans="3:26" x14ac:dyDescent="0.25">
      <c r="C184" s="2" t="s">
        <v>1345</v>
      </c>
      <c r="D184" s="2" t="s">
        <v>1552</v>
      </c>
      <c r="F184" s="2" t="s">
        <v>1611</v>
      </c>
      <c r="G184" s="2" t="s">
        <v>1369</v>
      </c>
      <c r="I184" s="2" t="s">
        <v>1612</v>
      </c>
      <c r="J184" s="2" t="s">
        <v>1613</v>
      </c>
    </row>
    <row r="185" spans="3:26" x14ac:dyDescent="0.25">
      <c r="C185" s="2" t="s">
        <v>1349</v>
      </c>
      <c r="D185" s="2" t="s">
        <v>1589</v>
      </c>
      <c r="F185" s="2" t="s">
        <v>1614</v>
      </c>
      <c r="G185" s="2" t="s">
        <v>1374</v>
      </c>
      <c r="I185" s="2" t="s">
        <v>1615</v>
      </c>
      <c r="J185" s="2" t="s">
        <v>1616</v>
      </c>
    </row>
    <row r="186" spans="3:26" x14ac:dyDescent="0.25">
      <c r="C186" s="2" t="s">
        <v>1547</v>
      </c>
      <c r="D186" s="2" t="s">
        <v>1546</v>
      </c>
      <c r="F186" s="2" t="s">
        <v>1617</v>
      </c>
      <c r="G186" s="2" t="s">
        <v>1111</v>
      </c>
      <c r="I186" s="2" t="s">
        <v>1618</v>
      </c>
      <c r="J186" s="2" t="s">
        <v>117</v>
      </c>
    </row>
    <row r="187" spans="3:26" x14ac:dyDescent="0.25">
      <c r="C187" s="2" t="s">
        <v>1567</v>
      </c>
      <c r="D187" s="2" t="s">
        <v>1566</v>
      </c>
      <c r="F187" s="2" t="s">
        <v>801</v>
      </c>
      <c r="G187" s="2" t="s">
        <v>800</v>
      </c>
      <c r="I187" s="2" t="s">
        <v>1619</v>
      </c>
      <c r="J187" s="2" t="s">
        <v>1620</v>
      </c>
    </row>
    <row r="188" spans="3:26" x14ac:dyDescent="0.25">
      <c r="C188" s="2" t="s">
        <v>1602</v>
      </c>
      <c r="D188" s="2" t="s">
        <v>1601</v>
      </c>
      <c r="F188" s="2" t="s">
        <v>1621</v>
      </c>
      <c r="G188" s="2" t="s">
        <v>1622</v>
      </c>
    </row>
    <row r="189" spans="3:26" x14ac:dyDescent="0.25">
      <c r="C189" s="2" t="s">
        <v>1608</v>
      </c>
      <c r="D189" s="2" t="s">
        <v>1607</v>
      </c>
      <c r="F189" s="2" t="s">
        <v>1290</v>
      </c>
      <c r="G189" s="2" t="s">
        <v>1077</v>
      </c>
    </row>
    <row r="190" spans="3:26" x14ac:dyDescent="0.25">
      <c r="C190" s="2" t="s">
        <v>1369</v>
      </c>
      <c r="D190" s="2" t="s">
        <v>1611</v>
      </c>
      <c r="F190" s="2" t="s">
        <v>1329</v>
      </c>
      <c r="G190" s="2" t="s">
        <v>1328</v>
      </c>
    </row>
    <row r="191" spans="3:26" x14ac:dyDescent="0.25">
      <c r="C191" s="2" t="s">
        <v>1623</v>
      </c>
      <c r="D191" s="2" t="s">
        <v>1624</v>
      </c>
      <c r="F191" s="2" t="s">
        <v>1406</v>
      </c>
      <c r="G191" s="2" t="s">
        <v>1405</v>
      </c>
    </row>
    <row r="192" spans="3:26" x14ac:dyDescent="0.25">
      <c r="C192" s="2" t="s">
        <v>1374</v>
      </c>
      <c r="D192" s="2" t="s">
        <v>1614</v>
      </c>
      <c r="F192" s="2" t="s">
        <v>1594</v>
      </c>
      <c r="G192" s="2" t="s">
        <v>1593</v>
      </c>
    </row>
    <row r="193" spans="3:7" x14ac:dyDescent="0.25">
      <c r="C193" s="2" t="s">
        <v>1111</v>
      </c>
      <c r="D193" s="2" t="s">
        <v>1617</v>
      </c>
      <c r="F193" s="2" t="s">
        <v>1625</v>
      </c>
      <c r="G193" s="2" t="s">
        <v>1626</v>
      </c>
    </row>
    <row r="194" spans="3:7" x14ac:dyDescent="0.25">
      <c r="C194" s="2" t="s">
        <v>1382</v>
      </c>
      <c r="D194" s="2" t="s">
        <v>1627</v>
      </c>
      <c r="F194" s="2" t="s">
        <v>1628</v>
      </c>
      <c r="G194" s="2" t="s">
        <v>1629</v>
      </c>
    </row>
    <row r="195" spans="3:7" x14ac:dyDescent="0.25">
      <c r="C195" s="2" t="s">
        <v>1630</v>
      </c>
      <c r="D195" s="2" t="s">
        <v>1631</v>
      </c>
      <c r="F195" s="2" t="s">
        <v>1632</v>
      </c>
      <c r="G195" s="2" t="s">
        <v>1410</v>
      </c>
    </row>
    <row r="196" spans="3:7" x14ac:dyDescent="0.25">
      <c r="C196" s="2" t="s">
        <v>1389</v>
      </c>
      <c r="D196" s="2" t="s">
        <v>1633</v>
      </c>
      <c r="F196" s="2" t="s">
        <v>1634</v>
      </c>
      <c r="G196" s="2" t="s">
        <v>1453</v>
      </c>
    </row>
    <row r="197" spans="3:7" x14ac:dyDescent="0.25">
      <c r="C197" s="2" t="s">
        <v>1396</v>
      </c>
      <c r="D197" s="2" t="s">
        <v>1635</v>
      </c>
      <c r="F197" s="2" t="s">
        <v>1627</v>
      </c>
      <c r="G197" s="2" t="s">
        <v>1382</v>
      </c>
    </row>
    <row r="198" spans="3:7" x14ac:dyDescent="0.25">
      <c r="C198" s="2" t="s">
        <v>389</v>
      </c>
      <c r="D198" s="2" t="s">
        <v>46</v>
      </c>
      <c r="F198" s="2" t="s">
        <v>1636</v>
      </c>
      <c r="G198" s="2" t="s">
        <v>1428</v>
      </c>
    </row>
    <row r="199" spans="3:7" x14ac:dyDescent="0.25">
      <c r="C199" s="2" t="s">
        <v>184</v>
      </c>
      <c r="D199" s="2" t="s">
        <v>44</v>
      </c>
      <c r="F199" s="2" t="s">
        <v>1624</v>
      </c>
      <c r="G199" s="2" t="s">
        <v>1623</v>
      </c>
    </row>
    <row r="200" spans="3:7" x14ac:dyDescent="0.25">
      <c r="C200" s="2" t="s">
        <v>1622</v>
      </c>
      <c r="D200" s="2" t="s">
        <v>1621</v>
      </c>
      <c r="F200" s="2" t="s">
        <v>1633</v>
      </c>
      <c r="G200" s="2" t="s">
        <v>1389</v>
      </c>
    </row>
    <row r="201" spans="3:7" x14ac:dyDescent="0.25">
      <c r="C201" s="2" t="s">
        <v>1434</v>
      </c>
      <c r="D201" s="2" t="s">
        <v>1637</v>
      </c>
      <c r="F201" s="2" t="s">
        <v>1638</v>
      </c>
      <c r="G201" s="2" t="s">
        <v>1443</v>
      </c>
    </row>
    <row r="202" spans="3:7" x14ac:dyDescent="0.25">
      <c r="C202" s="2" t="s">
        <v>1639</v>
      </c>
      <c r="D202" s="2" t="s">
        <v>1640</v>
      </c>
      <c r="F202" s="2" t="s">
        <v>44</v>
      </c>
      <c r="G202" s="2" t="s">
        <v>184</v>
      </c>
    </row>
    <row r="203" spans="3:7" x14ac:dyDescent="0.25">
      <c r="C203" s="2" t="s">
        <v>1439</v>
      </c>
      <c r="D203" s="2" t="s">
        <v>1641</v>
      </c>
      <c r="F203" s="2" t="s">
        <v>1642</v>
      </c>
      <c r="G203" s="2" t="s">
        <v>1643</v>
      </c>
    </row>
    <row r="204" spans="3:7" x14ac:dyDescent="0.25">
      <c r="C204" s="2" t="s">
        <v>1443</v>
      </c>
      <c r="D204" s="2" t="s">
        <v>1638</v>
      </c>
      <c r="F204" s="2" t="s">
        <v>1641</v>
      </c>
      <c r="G204" s="2" t="s">
        <v>1439</v>
      </c>
    </row>
    <row r="205" spans="3:7" x14ac:dyDescent="0.25">
      <c r="C205" s="2" t="s">
        <v>1410</v>
      </c>
      <c r="D205" s="2" t="s">
        <v>1632</v>
      </c>
      <c r="F205" s="2" t="s">
        <v>1637</v>
      </c>
      <c r="G205" s="2" t="s">
        <v>1434</v>
      </c>
    </row>
    <row r="206" spans="3:7" x14ac:dyDescent="0.25">
      <c r="C206" s="2" t="s">
        <v>1428</v>
      </c>
      <c r="D206" s="2" t="s">
        <v>1636</v>
      </c>
      <c r="F206" s="2" t="s">
        <v>1631</v>
      </c>
      <c r="G206" s="2" t="s">
        <v>1630</v>
      </c>
    </row>
    <row r="207" spans="3:7" x14ac:dyDescent="0.25">
      <c r="C207" s="2" t="s">
        <v>1449</v>
      </c>
      <c r="D207" s="2" t="s">
        <v>1644</v>
      </c>
      <c r="F207" s="2" t="s">
        <v>1644</v>
      </c>
      <c r="G207" s="2" t="s">
        <v>1449</v>
      </c>
    </row>
    <row r="208" spans="3:7" x14ac:dyDescent="0.25">
      <c r="C208" s="2" t="s">
        <v>1419</v>
      </c>
      <c r="D208" s="2" t="s">
        <v>1645</v>
      </c>
      <c r="F208" s="2" t="s">
        <v>45</v>
      </c>
      <c r="G208" s="2" t="s">
        <v>117</v>
      </c>
    </row>
    <row r="209" spans="3:7" x14ac:dyDescent="0.25">
      <c r="C209" s="2" t="s">
        <v>1468</v>
      </c>
      <c r="D209" s="2" t="s">
        <v>1646</v>
      </c>
      <c r="F209" s="2" t="s">
        <v>1139</v>
      </c>
      <c r="G209" s="2" t="s">
        <v>1138</v>
      </c>
    </row>
    <row r="210" spans="3:7" x14ac:dyDescent="0.25">
      <c r="C210" s="2" t="s">
        <v>1453</v>
      </c>
      <c r="D210" s="2" t="s">
        <v>1634</v>
      </c>
      <c r="F210" s="2" t="s">
        <v>1646</v>
      </c>
      <c r="G210" s="2" t="s">
        <v>1468</v>
      </c>
    </row>
    <row r="211" spans="3:7" x14ac:dyDescent="0.25">
      <c r="C211" s="2" t="s">
        <v>1016</v>
      </c>
      <c r="D211" s="2" t="s">
        <v>1015</v>
      </c>
      <c r="F211" s="2" t="s">
        <v>1021</v>
      </c>
      <c r="G211" s="2" t="s">
        <v>1020</v>
      </c>
    </row>
    <row r="212" spans="3:7" x14ac:dyDescent="0.25">
      <c r="C212" s="2" t="s">
        <v>1643</v>
      </c>
      <c r="D212" s="2" t="s">
        <v>1642</v>
      </c>
      <c r="F212" s="2" t="s">
        <v>1342</v>
      </c>
      <c r="G212" s="2" t="s">
        <v>1341</v>
      </c>
    </row>
    <row r="213" spans="3:7" x14ac:dyDescent="0.25">
      <c r="C213" s="2" t="s">
        <v>1647</v>
      </c>
      <c r="D213" s="2" t="s">
        <v>1648</v>
      </c>
      <c r="F213" s="2" t="s">
        <v>1649</v>
      </c>
      <c r="G213" s="2" t="s">
        <v>1650</v>
      </c>
    </row>
    <row r="214" spans="3:7" x14ac:dyDescent="0.25">
      <c r="C214" s="2" t="s">
        <v>1651</v>
      </c>
      <c r="D214" s="2" t="s">
        <v>1652</v>
      </c>
      <c r="F214" s="2" t="s">
        <v>1635</v>
      </c>
      <c r="G214" s="2" t="s">
        <v>1396</v>
      </c>
    </row>
    <row r="215" spans="3:7" x14ac:dyDescent="0.25">
      <c r="C215" s="2" t="s">
        <v>1653</v>
      </c>
      <c r="D215" s="2" t="s">
        <v>1654</v>
      </c>
      <c r="F215" s="2" t="s">
        <v>1645</v>
      </c>
      <c r="G215" s="2" t="s">
        <v>1419</v>
      </c>
    </row>
    <row r="216" spans="3:7" x14ac:dyDescent="0.25">
      <c r="C216" s="2" t="s">
        <v>897</v>
      </c>
      <c r="D216" s="2" t="s">
        <v>896</v>
      </c>
      <c r="F216" s="2" t="s">
        <v>1640</v>
      </c>
      <c r="G216" s="2" t="s">
        <v>1639</v>
      </c>
    </row>
    <row r="217" spans="3:7" x14ac:dyDescent="0.25">
      <c r="C217" s="2" t="s">
        <v>1083</v>
      </c>
      <c r="D217" s="2" t="s">
        <v>1082</v>
      </c>
      <c r="F217" s="2" t="s">
        <v>1652</v>
      </c>
      <c r="G217" s="2" t="s">
        <v>1651</v>
      </c>
    </row>
    <row r="218" spans="3:7" x14ac:dyDescent="0.25">
      <c r="C218" s="2" t="s">
        <v>1486</v>
      </c>
      <c r="D218" s="2" t="s">
        <v>1655</v>
      </c>
      <c r="F218" s="2" t="s">
        <v>46</v>
      </c>
      <c r="G218" s="2" t="s">
        <v>389</v>
      </c>
    </row>
    <row r="219" spans="3:7" x14ac:dyDescent="0.25">
      <c r="C219" s="2" t="s">
        <v>1492</v>
      </c>
      <c r="D219" s="2" t="s">
        <v>1656</v>
      </c>
      <c r="F219" s="2" t="s">
        <v>47</v>
      </c>
      <c r="G219" s="2" t="s">
        <v>349</v>
      </c>
    </row>
    <row r="220" spans="3:7" x14ac:dyDescent="0.25">
      <c r="C220" s="2" t="s">
        <v>1657</v>
      </c>
      <c r="D220" s="2" t="s">
        <v>1658</v>
      </c>
      <c r="F220" s="2" t="s">
        <v>1648</v>
      </c>
      <c r="G220" s="2" t="s">
        <v>1647</v>
      </c>
    </row>
    <row r="221" spans="3:7" x14ac:dyDescent="0.25">
      <c r="C221" s="2" t="s">
        <v>1508</v>
      </c>
      <c r="D221" s="2" t="s">
        <v>1659</v>
      </c>
      <c r="F221" s="2" t="s">
        <v>19</v>
      </c>
      <c r="G221" s="2" t="s">
        <v>532</v>
      </c>
    </row>
    <row r="222" spans="3:7" x14ac:dyDescent="0.25">
      <c r="C222" s="2" t="s">
        <v>1515</v>
      </c>
      <c r="D222" s="2" t="s">
        <v>1660</v>
      </c>
      <c r="F222" s="2" t="s">
        <v>1658</v>
      </c>
      <c r="G222" s="2" t="s">
        <v>1657</v>
      </c>
    </row>
    <row r="223" spans="3:7" x14ac:dyDescent="0.25">
      <c r="C223" s="2" t="s">
        <v>1661</v>
      </c>
      <c r="D223" s="2" t="s">
        <v>1662</v>
      </c>
      <c r="F223" s="2" t="s">
        <v>48</v>
      </c>
      <c r="G223" s="2" t="s">
        <v>134</v>
      </c>
    </row>
    <row r="224" spans="3:7" x14ac:dyDescent="0.25">
      <c r="C224" s="2" t="s">
        <v>1521</v>
      </c>
      <c r="D224" s="2" t="s">
        <v>1663</v>
      </c>
      <c r="F224" s="2" t="s">
        <v>1656</v>
      </c>
      <c r="G224" s="2" t="s">
        <v>1492</v>
      </c>
    </row>
    <row r="225" spans="3:7" x14ac:dyDescent="0.25">
      <c r="C225" s="2" t="s">
        <v>1525</v>
      </c>
      <c r="D225" s="2" t="s">
        <v>1664</v>
      </c>
      <c r="F225" s="2" t="s">
        <v>1660</v>
      </c>
      <c r="G225" s="2" t="s">
        <v>1515</v>
      </c>
    </row>
    <row r="226" spans="3:7" x14ac:dyDescent="0.25">
      <c r="C226" s="2" t="s">
        <v>1529</v>
      </c>
      <c r="D226" s="2" t="s">
        <v>1665</v>
      </c>
      <c r="F226" s="2" t="s">
        <v>1655</v>
      </c>
      <c r="G226" s="2" t="s">
        <v>1486</v>
      </c>
    </row>
    <row r="227" spans="3:7" x14ac:dyDescent="0.25">
      <c r="C227" s="2" t="s">
        <v>1538</v>
      </c>
      <c r="D227" s="2" t="s">
        <v>1666</v>
      </c>
      <c r="F227" s="2" t="s">
        <v>1659</v>
      </c>
      <c r="G227" s="2" t="s">
        <v>1508</v>
      </c>
    </row>
    <row r="228" spans="3:7" x14ac:dyDescent="0.25">
      <c r="C228" s="2" t="s">
        <v>1667</v>
      </c>
      <c r="D228" s="2" t="s">
        <v>1668</v>
      </c>
      <c r="F228" s="2" t="s">
        <v>1664</v>
      </c>
      <c r="G228" s="2" t="s">
        <v>1525</v>
      </c>
    </row>
    <row r="229" spans="3:7" x14ac:dyDescent="0.25">
      <c r="C229" s="2" t="s">
        <v>532</v>
      </c>
      <c r="D229" s="2" t="s">
        <v>19</v>
      </c>
      <c r="F229" s="2" t="s">
        <v>1666</v>
      </c>
      <c r="G229" s="2" t="s">
        <v>1538</v>
      </c>
    </row>
    <row r="230" spans="3:7" x14ac:dyDescent="0.25">
      <c r="C230" s="2" t="s">
        <v>134</v>
      </c>
      <c r="D230" s="2" t="s">
        <v>48</v>
      </c>
      <c r="F230" s="2" t="s">
        <v>1663</v>
      </c>
      <c r="G230" s="2" t="s">
        <v>1521</v>
      </c>
    </row>
    <row r="231" spans="3:7" x14ac:dyDescent="0.25">
      <c r="C231" s="2" t="s">
        <v>1669</v>
      </c>
      <c r="D231" s="2" t="s">
        <v>1670</v>
      </c>
      <c r="F231" s="2" t="s">
        <v>1665</v>
      </c>
      <c r="G231" s="2" t="s">
        <v>1529</v>
      </c>
    </row>
    <row r="232" spans="3:7" x14ac:dyDescent="0.25">
      <c r="C232" s="2" t="s">
        <v>1554</v>
      </c>
      <c r="D232" s="2" t="s">
        <v>1671</v>
      </c>
      <c r="F232" s="2" t="s">
        <v>1662</v>
      </c>
      <c r="G232" s="2" t="s">
        <v>1661</v>
      </c>
    </row>
    <row r="233" spans="3:7" x14ac:dyDescent="0.25">
      <c r="C233" s="2" t="s">
        <v>1672</v>
      </c>
      <c r="D233" s="2" t="s">
        <v>1673</v>
      </c>
      <c r="F233" s="2" t="s">
        <v>1654</v>
      </c>
      <c r="G233" s="2" t="s">
        <v>1653</v>
      </c>
    </row>
    <row r="234" spans="3:7" x14ac:dyDescent="0.25">
      <c r="C234" s="2" t="s">
        <v>186</v>
      </c>
      <c r="D234" s="2" t="s">
        <v>51</v>
      </c>
      <c r="F234" s="2" t="s">
        <v>1668</v>
      </c>
      <c r="G234" s="2" t="s">
        <v>1667</v>
      </c>
    </row>
    <row r="235" spans="3:7" x14ac:dyDescent="0.25">
      <c r="C235" s="2" t="s">
        <v>1674</v>
      </c>
      <c r="D235" s="2" t="s">
        <v>1675</v>
      </c>
      <c r="F235" s="2" t="s">
        <v>1671</v>
      </c>
      <c r="G235" s="2" t="s">
        <v>1554</v>
      </c>
    </row>
    <row r="236" spans="3:7" x14ac:dyDescent="0.25">
      <c r="C236" s="2" t="s">
        <v>1569</v>
      </c>
      <c r="D236" s="2" t="s">
        <v>1676</v>
      </c>
      <c r="F236" s="2" t="s">
        <v>1670</v>
      </c>
      <c r="G236" s="2" t="s">
        <v>1669</v>
      </c>
    </row>
    <row r="237" spans="3:7" x14ac:dyDescent="0.25">
      <c r="C237" s="2" t="s">
        <v>1185</v>
      </c>
      <c r="D237" s="2" t="s">
        <v>1184</v>
      </c>
      <c r="F237" s="2" t="s">
        <v>49</v>
      </c>
      <c r="G237" s="2" t="s">
        <v>534</v>
      </c>
    </row>
    <row r="238" spans="3:7" x14ac:dyDescent="0.25">
      <c r="C238" s="2" t="s">
        <v>1626</v>
      </c>
      <c r="D238" s="2" t="s">
        <v>1625</v>
      </c>
      <c r="F238" s="2" t="s">
        <v>50</v>
      </c>
      <c r="G238" s="2" t="s">
        <v>109</v>
      </c>
    </row>
    <row r="239" spans="3:7" x14ac:dyDescent="0.25">
      <c r="C239" s="2" t="s">
        <v>255</v>
      </c>
      <c r="D239" s="2" t="s">
        <v>52</v>
      </c>
      <c r="F239" s="2" t="s">
        <v>51</v>
      </c>
      <c r="G239" s="2" t="s">
        <v>186</v>
      </c>
    </row>
    <row r="240" spans="3:7" x14ac:dyDescent="0.25">
      <c r="C240" s="2" t="s">
        <v>248</v>
      </c>
      <c r="D240" s="2" t="s">
        <v>12</v>
      </c>
      <c r="F240" s="2" t="s">
        <v>1673</v>
      </c>
      <c r="G240" s="2" t="s">
        <v>1672</v>
      </c>
    </row>
    <row r="241" spans="3:7" x14ac:dyDescent="0.25">
      <c r="C241" s="2" t="s">
        <v>1576</v>
      </c>
      <c r="D241" s="2" t="s">
        <v>1677</v>
      </c>
      <c r="F241" s="2" t="s">
        <v>1675</v>
      </c>
      <c r="G241" s="2" t="s">
        <v>1674</v>
      </c>
    </row>
    <row r="242" spans="3:7" x14ac:dyDescent="0.25">
      <c r="C242" s="2" t="s">
        <v>1678</v>
      </c>
      <c r="D242" s="2" t="s">
        <v>1679</v>
      </c>
      <c r="F242" s="2" t="s">
        <v>1676</v>
      </c>
      <c r="G242" s="2" t="s">
        <v>1569</v>
      </c>
    </row>
    <row r="243" spans="3:7" x14ac:dyDescent="0.25">
      <c r="C243" s="2" t="s">
        <v>1680</v>
      </c>
      <c r="D243" s="2" t="s">
        <v>1681</v>
      </c>
      <c r="F243" s="2" t="s">
        <v>1681</v>
      </c>
      <c r="G243" s="2" t="s">
        <v>1680</v>
      </c>
    </row>
    <row r="244" spans="3:7" x14ac:dyDescent="0.25">
      <c r="C244" s="2" t="s">
        <v>1682</v>
      </c>
      <c r="D244" s="2" t="s">
        <v>1683</v>
      </c>
      <c r="F244" s="2" t="s">
        <v>52</v>
      </c>
      <c r="G244" s="2" t="s">
        <v>255</v>
      </c>
    </row>
    <row r="245" spans="3:7" x14ac:dyDescent="0.25">
      <c r="C245" s="2" t="s">
        <v>1629</v>
      </c>
      <c r="D245" s="2" t="s">
        <v>1628</v>
      </c>
      <c r="F245" s="2" t="s">
        <v>1679</v>
      </c>
      <c r="G245" s="2" t="s">
        <v>1678</v>
      </c>
    </row>
    <row r="246" spans="3:7" x14ac:dyDescent="0.25">
      <c r="C246" s="2" t="s">
        <v>1292</v>
      </c>
      <c r="D246" s="2" t="s">
        <v>1291</v>
      </c>
      <c r="F246" s="2" t="s">
        <v>12</v>
      </c>
      <c r="G246" s="2" t="s">
        <v>248</v>
      </c>
    </row>
    <row r="247" spans="3:7" x14ac:dyDescent="0.25">
      <c r="C247" s="2" t="s">
        <v>1650</v>
      </c>
      <c r="D247" s="2" t="s">
        <v>1649</v>
      </c>
      <c r="F247" s="2" t="s">
        <v>1677</v>
      </c>
      <c r="G247" s="2" t="s">
        <v>1576</v>
      </c>
    </row>
    <row r="248" spans="3:7" x14ac:dyDescent="0.25">
      <c r="C248" s="2" t="s">
        <v>1684</v>
      </c>
      <c r="D248" s="2" t="s">
        <v>1685</v>
      </c>
      <c r="F248" s="2" t="s">
        <v>1683</v>
      </c>
      <c r="G248" s="2" t="s">
        <v>1682</v>
      </c>
    </row>
    <row r="249" spans="3:7" x14ac:dyDescent="0.25">
      <c r="C249" s="2" t="s">
        <v>1423</v>
      </c>
      <c r="D249" s="2" t="s">
        <v>1422</v>
      </c>
      <c r="F249" s="2" t="s">
        <v>1009</v>
      </c>
      <c r="G249" s="2" t="s">
        <v>1008</v>
      </c>
    </row>
    <row r="250" spans="3:7" x14ac:dyDescent="0.25">
      <c r="C250" s="2" t="s">
        <v>117</v>
      </c>
      <c r="D250" s="2" t="s">
        <v>45</v>
      </c>
      <c r="F250" s="2" t="s">
        <v>1685</v>
      </c>
      <c r="G250" s="2" t="s">
        <v>1684</v>
      </c>
    </row>
    <row r="251" spans="3:7" x14ac:dyDescent="0.25">
      <c r="C251" s="2" t="s">
        <v>287</v>
      </c>
      <c r="D251" s="2" t="s">
        <v>53</v>
      </c>
      <c r="F251" s="2" t="s">
        <v>53</v>
      </c>
      <c r="G251" s="2" t="s">
        <v>287</v>
      </c>
    </row>
    <row r="252" spans="3:7" x14ac:dyDescent="0.25">
      <c r="C252" s="2" t="s">
        <v>118</v>
      </c>
      <c r="D252" s="2" t="s">
        <v>54</v>
      </c>
      <c r="F252" s="2" t="s">
        <v>54</v>
      </c>
      <c r="G252" s="2" t="s">
        <v>118</v>
      </c>
    </row>
  </sheetData>
  <sortState xmlns:xlrd2="http://schemas.microsoft.com/office/spreadsheetml/2017/richdata2" ref="Y2:Z180">
    <sortCondition ref="Y2:Y180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Table 1 Revenue</vt:lpstr>
      <vt:lpstr>Table 2 Entities</vt:lpstr>
      <vt:lpstr>TemplateMapXml</vt:lpstr>
      <vt:lpstr>Table1Map</vt:lpstr>
      <vt:lpstr>Lists</vt:lpstr>
      <vt:lpstr>ListAddressType</vt:lpstr>
      <vt:lpstr>ListAddressTypeCode</vt:lpstr>
      <vt:lpstr>ListAddressTypeName</vt:lpstr>
      <vt:lpstr>ListBizActivityType</vt:lpstr>
      <vt:lpstr>ListBizActivityTypeCode</vt:lpstr>
      <vt:lpstr>ListBizActivityTypeName</vt:lpstr>
      <vt:lpstr>ListBoolean</vt:lpstr>
      <vt:lpstr>ListCountry</vt:lpstr>
      <vt:lpstr>ListCountryCode</vt:lpstr>
      <vt:lpstr>ListCountryName</vt:lpstr>
      <vt:lpstr>ListCountryReverse</vt:lpstr>
      <vt:lpstr>ListCurrency</vt:lpstr>
      <vt:lpstr>ListCurrencyCode</vt:lpstr>
      <vt:lpstr>ListCurrencyName</vt:lpstr>
      <vt:lpstr>ListCurrencyReverse</vt:lpstr>
      <vt:lpstr>ListDocumentType</vt:lpstr>
      <vt:lpstr>ListDocumentTypeCode</vt:lpstr>
      <vt:lpstr>ListDocumentTypeName</vt:lpstr>
      <vt:lpstr>ListLanguage</vt:lpstr>
      <vt:lpstr>ListLanguageCode</vt:lpstr>
      <vt:lpstr>ListLanguageName</vt:lpstr>
      <vt:lpstr>ListMessageType</vt:lpstr>
      <vt:lpstr>ListMessageTypeCode</vt:lpstr>
      <vt:lpstr>ListMessageTypeName</vt:lpstr>
      <vt:lpstr>ListReportingRole</vt:lpstr>
      <vt:lpstr>ListReportingRoleCode</vt:lpstr>
      <vt:lpstr>ListReportingRoleName</vt:lpstr>
      <vt:lpstr>ListSummaryRef</vt:lpstr>
      <vt:lpstr>ListSummaryRefCode</vt:lpstr>
      <vt:lpstr>ListSummaryRefName</vt:lpstr>
      <vt:lpstr>'Table 1 Revenue'!Print_Area</vt:lpstr>
      <vt:lpstr>ReportType</vt:lpstr>
      <vt:lpstr>Table1RevenueCurrencyCode</vt:lpstr>
      <vt:lpstr>Table1RevenueCurrencyLabel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Roi Lustik-Cohen</dc:creator>
  <cp:keywords>V1.2</cp:keywords>
  <dc:description/>
  <cp:lastModifiedBy>Luke Fallon</cp:lastModifiedBy>
  <cp:revision/>
  <cp:lastPrinted>2020-03-04T17:13:18Z</cp:lastPrinted>
  <dcterms:created xsi:type="dcterms:W3CDTF">2017-09-28T12:08:03Z</dcterms:created>
  <dcterms:modified xsi:type="dcterms:W3CDTF">2022-01-22T16:59:26Z</dcterms:modified>
  <cp:category>CBCConsolidated.636506534367051960.xlsm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